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Hydra\Documents\DipTrace\Projects\MakerPnPControl\Design\"/>
    </mc:Choice>
  </mc:AlternateContent>
  <xr:revisionPtr revIDLastSave="0" documentId="13_ncr:1_{343EACD7-7B0E-4EA6-BD0F-4B98789FC405}" xr6:coauthVersionLast="47" xr6:coauthVersionMax="47" xr10:uidLastSave="{00000000-0000-0000-0000-000000000000}"/>
  <bookViews>
    <workbookView xWindow="24540" yWindow="11145" windowWidth="23640" windowHeight="16305" activeTab="3" xr2:uid="{C3A3646F-069D-4AE0-AC21-8ACD43A56D36}"/>
    <workbookView xWindow="6930" yWindow="15000" windowWidth="23505" windowHeight="16305" activeTab="2" xr2:uid="{5C284F24-6554-4134-9E05-7CDBC7F0C926}"/>
  </bookViews>
  <sheets>
    <sheet name="LQFP144" sheetId="1" r:id="rId1"/>
    <sheet name="LPFP176" sheetId="2" r:id="rId2"/>
    <sheet name="UFBGA176+25 Ports" sheetId="5" r:id="rId3"/>
    <sheet name="UFBFA176+25 Peripherals" sheetId="3" r:id="rId4"/>
    <sheet name="UFBGA176+25 GPIOs" sheetId="4" r:id="rId5"/>
  </sheets>
  <definedNames>
    <definedName name="_xlnm._FilterDatabase" localSheetId="4" hidden="1">'UFBGA176+25 GPIOs'!$A$1:$I$133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3" l="1"/>
  <c r="D44" i="3"/>
  <c r="E43" i="3"/>
  <c r="D43" i="3"/>
  <c r="E48" i="3"/>
  <c r="D48" i="3"/>
  <c r="E47" i="3"/>
  <c r="D47" i="3"/>
  <c r="A69" i="3" a="1"/>
  <c r="A69" i="3" s="1"/>
  <c r="B69" i="3" s="1" a="1"/>
  <c r="B69" i="3" s="1"/>
  <c r="C9" i="5" s="1"/>
  <c r="D23" i="3"/>
  <c r="H22" i="3" a="1"/>
  <c r="H22" i="3" s="1"/>
  <c r="I22" i="3" s="1" a="1"/>
  <c r="I22" i="3" s="1"/>
  <c r="G26" i="3"/>
  <c r="F26" i="3"/>
  <c r="E26" i="3"/>
  <c r="D26" i="3"/>
  <c r="G25" i="3"/>
  <c r="F25" i="3"/>
  <c r="E25" i="3"/>
  <c r="D25" i="3"/>
  <c r="G24" i="3"/>
  <c r="F24" i="3"/>
  <c r="E24" i="3"/>
  <c r="D24" i="3"/>
  <c r="G23" i="3"/>
  <c r="F23" i="3"/>
  <c r="E23" i="3"/>
  <c r="F93" i="3"/>
  <c r="E93" i="3"/>
  <c r="D93" i="3"/>
  <c r="D90" i="3"/>
  <c r="D88" i="3"/>
  <c r="D87" i="3"/>
  <c r="D86" i="3"/>
  <c r="D85" i="3"/>
  <c r="D84" i="3"/>
  <c r="D83" i="3"/>
  <c r="D82" i="3"/>
  <c r="D81" i="3"/>
  <c r="D74" i="3"/>
  <c r="D73" i="3"/>
  <c r="D72" i="3"/>
  <c r="D71" i="3"/>
  <c r="D79" i="3"/>
  <c r="D78" i="3"/>
  <c r="D77" i="3"/>
  <c r="D76" i="3"/>
  <c r="K51" i="3"/>
  <c r="L51" i="3"/>
  <c r="M51" i="3"/>
  <c r="N51" i="3"/>
  <c r="H51" i="3"/>
  <c r="I51" i="3"/>
  <c r="J51" i="3"/>
  <c r="G51" i="3"/>
  <c r="F51" i="3"/>
  <c r="E51" i="3"/>
  <c r="D5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G16" i="3"/>
  <c r="F16" i="3"/>
  <c r="E16" i="3"/>
  <c r="D16" i="3"/>
  <c r="G15" i="3"/>
  <c r="F15" i="3"/>
  <c r="E15" i="3"/>
  <c r="D15" i="3"/>
  <c r="G14" i="3"/>
  <c r="F14" i="3"/>
  <c r="E14" i="3"/>
  <c r="D14" i="3"/>
  <c r="G13" i="3"/>
  <c r="F13" i="3"/>
  <c r="E13" i="3"/>
  <c r="D13" i="3"/>
  <c r="G12" i="3"/>
  <c r="F12" i="3"/>
  <c r="E12" i="3"/>
  <c r="D12" i="3"/>
  <c r="G11" i="3"/>
  <c r="F11" i="3"/>
  <c r="E11" i="3"/>
  <c r="D11" i="3"/>
  <c r="G18" i="3"/>
  <c r="F18" i="3"/>
  <c r="E18" i="3"/>
  <c r="D18" i="3"/>
  <c r="G17" i="3"/>
  <c r="F17" i="3"/>
  <c r="E17" i="3"/>
  <c r="D17" i="3"/>
  <c r="G10" i="3"/>
  <c r="F10" i="3"/>
  <c r="E10" i="3"/>
  <c r="D10" i="3"/>
  <c r="G7" i="3"/>
  <c r="F7" i="3"/>
  <c r="E7" i="3"/>
  <c r="D7" i="3"/>
  <c r="G6" i="3"/>
  <c r="F6" i="3"/>
  <c r="E6" i="3"/>
  <c r="D6" i="3"/>
  <c r="G5" i="3"/>
  <c r="F5" i="3"/>
  <c r="E5" i="3"/>
  <c r="D5" i="3"/>
  <c r="G4" i="3"/>
  <c r="F4" i="3"/>
  <c r="E4" i="3"/>
  <c r="D4" i="3"/>
  <c r="G3" i="3"/>
  <c r="F3" i="3"/>
  <c r="E3" i="3"/>
  <c r="D3" i="3"/>
  <c r="D9" i="3"/>
  <c r="H9" i="3" s="1" a="1"/>
  <c r="H9" i="3" s="1"/>
  <c r="I9" i="3" s="1" a="1"/>
  <c r="I9" i="3" s="1"/>
  <c r="D8" i="3"/>
  <c r="H8" i="3" s="1" a="1"/>
  <c r="H8" i="3" s="1"/>
  <c r="I8" i="3" s="1" a="1"/>
  <c r="I8" i="3" s="1"/>
  <c r="F39" i="2" a="1"/>
  <c r="F39" i="2" s="1"/>
  <c r="G39" i="2" s="1" a="1"/>
  <c r="G39" i="2" s="1"/>
  <c r="F38" i="2" a="1"/>
  <c r="F38" i="2" s="1"/>
  <c r="G38" i="2" s="1" a="1"/>
  <c r="G38" i="2" s="1"/>
  <c r="F37" i="2" a="1"/>
  <c r="F37" i="2" s="1"/>
  <c r="F52" i="2" s="1"/>
  <c r="F36" i="2" a="1"/>
  <c r="F36" i="2" s="1"/>
  <c r="C52" i="2" s="1"/>
  <c r="N52" i="2" s="1"/>
  <c r="F35" i="2" a="1"/>
  <c r="F35" i="2" s="1"/>
  <c r="H52" i="2" s="1"/>
  <c r="F34" i="2" a="1"/>
  <c r="F34" i="2" s="1"/>
  <c r="H50" i="2" s="1"/>
  <c r="F33" i="2" a="1"/>
  <c r="F33" i="2" s="1"/>
  <c r="C50" i="2" s="1"/>
  <c r="L50" i="2" s="1"/>
  <c r="F32" i="2" a="1"/>
  <c r="F32" i="2" s="1"/>
  <c r="F50" i="2" s="1"/>
  <c r="F31" i="2" a="1"/>
  <c r="F31" i="2" s="1"/>
  <c r="F51" i="2" s="1"/>
  <c r="J51" i="2" s="1"/>
  <c r="F30" i="2" a="1"/>
  <c r="F30" i="2" s="1"/>
  <c r="C51" i="2" s="1"/>
  <c r="N51" i="2" s="1"/>
  <c r="F29" i="2" a="1"/>
  <c r="F29" i="2" s="1"/>
  <c r="F49" i="2" s="1"/>
  <c r="F28" i="2" a="1"/>
  <c r="F28" i="2" s="1"/>
  <c r="H49" i="2" s="1"/>
  <c r="F27" i="2" a="1"/>
  <c r="F27" i="2" s="1"/>
  <c r="C49" i="2" s="1"/>
  <c r="L49" i="2" s="1"/>
  <c r="D28" i="3" l="1" a="1"/>
  <c r="D28" i="3" s="1"/>
  <c r="H31" i="3" a="1"/>
  <c r="H31" i="3" s="1"/>
  <c r="I31" i="3" s="1" a="1"/>
  <c r="I31" i="3" s="1"/>
  <c r="H24" i="3" a="1"/>
  <c r="H24" i="3" s="1"/>
  <c r="I24" i="3" s="1" a="1"/>
  <c r="I24" i="3" s="1"/>
  <c r="I4" i="5" s="1"/>
  <c r="H25" i="3" a="1"/>
  <c r="H25" i="3" s="1"/>
  <c r="I25" i="3" s="1" a="1"/>
  <c r="I25" i="3" s="1"/>
  <c r="I3" i="5" s="1"/>
  <c r="H36" i="3" a="1"/>
  <c r="H36" i="3" s="1"/>
  <c r="I36" i="3" s="1" a="1"/>
  <c r="I36" i="3" s="1"/>
  <c r="K5" i="5" s="1"/>
  <c r="H37" i="3" a="1"/>
  <c r="H37" i="3" s="1"/>
  <c r="I37" i="3" s="1" a="1"/>
  <c r="I37" i="3" s="1"/>
  <c r="M5" i="5" s="1"/>
  <c r="H26" i="3" a="1"/>
  <c r="H26" i="3" s="1"/>
  <c r="I26" i="3" s="1" a="1"/>
  <c r="I26" i="3" s="1"/>
  <c r="I5" i="5" s="1"/>
  <c r="H33" i="3" a="1"/>
  <c r="H33" i="3" s="1"/>
  <c r="I33" i="3" s="1" a="1"/>
  <c r="I33" i="3" s="1"/>
  <c r="K3" i="5" s="1"/>
  <c r="H23" i="3" a="1"/>
  <c r="H23" i="3" s="1"/>
  <c r="I23" i="3" s="1" a="1"/>
  <c r="I23" i="3" s="1"/>
  <c r="I2" i="5" s="1"/>
  <c r="H38" i="3" a="1"/>
  <c r="H38" i="3" s="1"/>
  <c r="I38" i="3" s="1" a="1"/>
  <c r="I38" i="3" s="1"/>
  <c r="K4" i="5" s="1"/>
  <c r="H34" i="3" a="1"/>
  <c r="H34" i="3" s="1"/>
  <c r="I34" i="3" s="1" a="1"/>
  <c r="I34" i="3" s="1"/>
  <c r="M3" i="5" s="1"/>
  <c r="H35" i="3" a="1"/>
  <c r="H35" i="3" s="1"/>
  <c r="I35" i="3" s="1" a="1"/>
  <c r="I35" i="3" s="1"/>
  <c r="K2" i="5" s="1"/>
  <c r="H39" i="3" a="1"/>
  <c r="H39" i="3" s="1"/>
  <c r="I39" i="3" s="1" a="1"/>
  <c r="I39" i="3" s="1"/>
  <c r="H40" i="3" a="1"/>
  <c r="H40" i="3" s="1"/>
  <c r="I40" i="3" s="1" a="1"/>
  <c r="I40" i="3" s="1"/>
  <c r="M4" i="5" s="1"/>
  <c r="H32" i="3" a="1"/>
  <c r="H32" i="3" s="1"/>
  <c r="I32" i="3" s="1" a="1"/>
  <c r="I32" i="3" s="1"/>
  <c r="M2" i="5" s="1"/>
  <c r="H6" i="3" a="1"/>
  <c r="H6" i="3" s="1"/>
  <c r="I6" i="3" s="1" a="1"/>
  <c r="I6" i="3" s="1"/>
  <c r="C5" i="5" s="1"/>
  <c r="H5" i="3" a="1"/>
  <c r="H5" i="3" s="1"/>
  <c r="I5" i="3" s="1" a="1"/>
  <c r="I5" i="3" s="1"/>
  <c r="C3" i="5" s="1"/>
  <c r="H10" i="3" a="1"/>
  <c r="H10" i="3" s="1"/>
  <c r="I10" i="3" s="1" a="1"/>
  <c r="I10" i="3" s="1"/>
  <c r="C4" i="5" s="1"/>
  <c r="H16" i="3" a="1"/>
  <c r="H16" i="3" s="1"/>
  <c r="I16" i="3" s="1" a="1"/>
  <c r="I16" i="3" s="1"/>
  <c r="H18" i="3" a="1"/>
  <c r="H18" i="3" s="1"/>
  <c r="I18" i="3" s="1" a="1"/>
  <c r="I18" i="3" s="1"/>
  <c r="E5" i="5" s="1"/>
  <c r="H14" i="3" a="1"/>
  <c r="H14" i="3" s="1"/>
  <c r="I14" i="3" s="1" a="1"/>
  <c r="I14" i="3" s="1"/>
  <c r="H13" i="3" a="1"/>
  <c r="H13" i="3" s="1"/>
  <c r="I13" i="3" s="1" a="1"/>
  <c r="I13" i="3" s="1"/>
  <c r="H4" i="3" a="1"/>
  <c r="H4" i="3" s="1"/>
  <c r="I4" i="3" s="1" a="1"/>
  <c r="I4" i="3" s="1"/>
  <c r="E2" i="5" s="1"/>
  <c r="H17" i="3" a="1"/>
  <c r="H17" i="3" s="1"/>
  <c r="I17" i="3" s="1" a="1"/>
  <c r="I17" i="3" s="1"/>
  <c r="E3" i="5" s="1"/>
  <c r="H7" i="3" a="1"/>
  <c r="H7" i="3" s="1"/>
  <c r="I7" i="3" s="1" a="1"/>
  <c r="I7" i="3" s="1"/>
  <c r="E4" i="5" s="1"/>
  <c r="H12" i="3" a="1"/>
  <c r="H12" i="3" s="1"/>
  <c r="I12" i="3" s="1" a="1"/>
  <c r="I12" i="3" s="1"/>
  <c r="H15" i="3" a="1"/>
  <c r="H15" i="3" s="1"/>
  <c r="I15" i="3" s="1" a="1"/>
  <c r="I15" i="3" s="1"/>
  <c r="H3" i="3" a="1"/>
  <c r="H3" i="3" s="1"/>
  <c r="I3" i="3" s="1" a="1"/>
  <c r="I3" i="3" s="1"/>
  <c r="C2" i="5" s="1"/>
  <c r="H11" i="3" a="1"/>
  <c r="H11" i="3" s="1"/>
  <c r="I11" i="3" s="1" a="1"/>
  <c r="I11" i="3" s="1"/>
  <c r="N49" i="2"/>
  <c r="G30" i="2" a="1"/>
  <c r="G30" i="2" s="1"/>
  <c r="G36" i="2" a="1"/>
  <c r="G36" i="2" s="1"/>
  <c r="G37" i="2" a="1"/>
  <c r="G37" i="2" s="1"/>
  <c r="G27" i="2" a="1"/>
  <c r="G27" i="2" s="1"/>
  <c r="G28" i="2" a="1"/>
  <c r="G28" i="2" s="1"/>
  <c r="G29" i="2" a="1"/>
  <c r="G29" i="2" s="1"/>
  <c r="G31" i="2" a="1"/>
  <c r="G31" i="2" s="1"/>
  <c r="G32" i="2" a="1"/>
  <c r="G32" i="2" s="1"/>
  <c r="G33" i="2" a="1"/>
  <c r="G33" i="2" s="1"/>
  <c r="G34" i="2" a="1"/>
  <c r="G34" i="2" s="1"/>
  <c r="G35" i="2" a="1"/>
  <c r="G35" i="2" s="1"/>
  <c r="N50" i="2"/>
  <c r="J52" i="2"/>
  <c r="J49" i="2"/>
  <c r="L51" i="2"/>
  <c r="L52" i="2"/>
  <c r="J5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<sst xmlns="http://schemas.openxmlformats.org/spreadsheetml/2006/main" count="1440" uniqueCount="534">
  <si>
    <t>Port</t>
  </si>
  <si>
    <t>TIM1</t>
  </si>
  <si>
    <t>TIM2</t>
  </si>
  <si>
    <t>TIM3</t>
  </si>
  <si>
    <t>TIM4</t>
  </si>
  <si>
    <t>TIM8</t>
  </si>
  <si>
    <t>Timer 1</t>
  </si>
  <si>
    <t>Timer 2</t>
  </si>
  <si>
    <t>SPI</t>
  </si>
  <si>
    <t>SPI2</t>
  </si>
  <si>
    <t>SPI3</t>
  </si>
  <si>
    <t>SPI4</t>
  </si>
  <si>
    <t>SPI5</t>
  </si>
  <si>
    <t>TIM5</t>
  </si>
  <si>
    <t>TIM23</t>
  </si>
  <si>
    <t>TIM24</t>
  </si>
  <si>
    <t>E,16</t>
  </si>
  <si>
    <t>NE,32</t>
  </si>
  <si>
    <t>E,32</t>
  </si>
  <si>
    <t>4CH</t>
  </si>
  <si>
    <t>Channels</t>
  </si>
  <si>
    <t>1,4</t>
  </si>
  <si>
    <t>1,2</t>
  </si>
  <si>
    <t>TIM13</t>
  </si>
  <si>
    <t>TIM14</t>
  </si>
  <si>
    <t>NE,16</t>
  </si>
  <si>
    <t>1-4</t>
  </si>
  <si>
    <t>32bit</t>
  </si>
  <si>
    <t>Features</t>
  </si>
  <si>
    <t>E,32bit</t>
  </si>
  <si>
    <t>E,16bit</t>
  </si>
  <si>
    <t>TIM15</t>
  </si>
  <si>
    <t>16bit</t>
  </si>
  <si>
    <t>Upto 16x PWM controlled outputs using DMA stream on GPIO Port G</t>
  </si>
  <si>
    <t>Embassy to use TIM12 - no support for TIM6/7/13/14/16/17</t>
  </si>
  <si>
    <t>UART4</t>
  </si>
  <si>
    <t>UART5</t>
  </si>
  <si>
    <t>UART7</t>
  </si>
  <si>
    <t>UART8</t>
  </si>
  <si>
    <t>UART10</t>
  </si>
  <si>
    <t>UART2 with RTS/CTS for head comms</t>
  </si>
  <si>
    <t>FDCAN2 for expansion ports</t>
  </si>
  <si>
    <t>FDCAN1 for head comms and expansion port</t>
  </si>
  <si>
    <t>SPI or DIAG0/1</t>
  </si>
  <si>
    <t>UART or DIAG0/1</t>
  </si>
  <si>
    <t>PB9</t>
  </si>
  <si>
    <t>PB10</t>
  </si>
  <si>
    <t>PC2</t>
  </si>
  <si>
    <t>PC3</t>
  </si>
  <si>
    <t>EXTI_10_15</t>
  </si>
  <si>
    <t>EXTI2</t>
  </si>
  <si>
    <t>EXTI3</t>
  </si>
  <si>
    <t>PD0</t>
  </si>
  <si>
    <t>PD1</t>
  </si>
  <si>
    <t>PD2</t>
  </si>
  <si>
    <t>PC12</t>
  </si>
  <si>
    <t>EXTI0</t>
  </si>
  <si>
    <t>EXTI1</t>
  </si>
  <si>
    <t>Port 1</t>
  </si>
  <si>
    <t>Port 2</t>
  </si>
  <si>
    <t>PA4</t>
  </si>
  <si>
    <t>PB2</t>
  </si>
  <si>
    <t>PC10</t>
  </si>
  <si>
    <t>PC11</t>
  </si>
  <si>
    <t>EXTI4</t>
  </si>
  <si>
    <t>PE7</t>
  </si>
  <si>
    <t>PE8</t>
  </si>
  <si>
    <t>UART5,7</t>
  </si>
  <si>
    <t>Port 3</t>
  </si>
  <si>
    <t>PE4</t>
  </si>
  <si>
    <t>PE5</t>
  </si>
  <si>
    <t>PE6</t>
  </si>
  <si>
    <t>PE12</t>
  </si>
  <si>
    <t>USART6</t>
  </si>
  <si>
    <t>PG9</t>
  </si>
  <si>
    <t>PG14</t>
  </si>
  <si>
    <t>Port 4</t>
  </si>
  <si>
    <t>PJ10</t>
  </si>
  <si>
    <t>PJ11</t>
  </si>
  <si>
    <t>PK0</t>
  </si>
  <si>
    <t>PK1</t>
  </si>
  <si>
    <t>PE2</t>
  </si>
  <si>
    <t>PE3</t>
  </si>
  <si>
    <t>UART4,6</t>
  </si>
  <si>
    <t>USART10</t>
  </si>
  <si>
    <t>USED: 0,1,2,3,4,5,6,7,8,9,10,11,12,14</t>
  </si>
  <si>
    <t>UNUSED: 13,15</t>
  </si>
  <si>
    <t>Ports 1-4 used exti signals when using unused interface pins as DIAG0/1</t>
  </si>
  <si>
    <t>BKIN</t>
  </si>
  <si>
    <t>YES</t>
  </si>
  <si>
    <t>NO</t>
  </si>
  <si>
    <t>PE0</t>
  </si>
  <si>
    <t>PE1</t>
  </si>
  <si>
    <t>FPGA EXTI: 15</t>
  </si>
  <si>
    <t>UART1 reserved</t>
  </si>
  <si>
    <t>SPI6 for WIFI and FPGA comms. With CS + INT for each - flexible clock source for SPI6</t>
  </si>
  <si>
    <t>Since UART8/10 and SPI3/4 are on pins that use clash with EXTI signals on ports 1 and 2, assume that the SPI pins on ports 3/4 are never used as EXTI</t>
  </si>
  <si>
    <t>This means EXTI 11 is unused, so it can be used for WIFI exti.</t>
  </si>
  <si>
    <t>EMERGENCY_STOP: 15</t>
  </si>
  <si>
    <t>PC13</t>
  </si>
  <si>
    <t>PF15</t>
  </si>
  <si>
    <t>WIFI EXTI: 11</t>
  </si>
  <si>
    <t>PD11</t>
  </si>
  <si>
    <t>Port 1 EXTI</t>
  </si>
  <si>
    <t>TMC2209 EXTIs</t>
  </si>
  <si>
    <t>UART9</t>
  </si>
  <si>
    <t>PD14</t>
  </si>
  <si>
    <t>PD15</t>
  </si>
  <si>
    <t>TIM4_CH3/CH4</t>
  </si>
  <si>
    <t>USART3</t>
  </si>
  <si>
    <t>10,11</t>
  </si>
  <si>
    <t>USART9</t>
  </si>
  <si>
    <t>Cannot use TIM4_CH3/CH4 when using USART9</t>
  </si>
  <si>
    <t>EXTIs when using SPI</t>
  </si>
  <si>
    <t>Cannot use SPI3 when using USART3 (same pins)</t>
  </si>
  <si>
    <t>TMC5160</t>
  </si>
  <si>
    <t>TMC2209</t>
  </si>
  <si>
    <t>PE9</t>
  </si>
  <si>
    <t>PE11</t>
  </si>
  <si>
    <t>PE13</t>
  </si>
  <si>
    <t>PE14</t>
  </si>
  <si>
    <t>PA15</t>
  </si>
  <si>
    <t>PB11</t>
  </si>
  <si>
    <t>PC6</t>
  </si>
  <si>
    <t>PC7</t>
  </si>
  <si>
    <t>PC8</t>
  </si>
  <si>
    <t>PC9</t>
  </si>
  <si>
    <t>PA0</t>
  </si>
  <si>
    <t>PA3</t>
  </si>
  <si>
    <t>8x PWM controlled outputs using DMA stream on GPIO Port G</t>
  </si>
  <si>
    <t>Embassy to use no support for TIM6/7/13/14/16/17</t>
  </si>
  <si>
    <t>TIM12</t>
  </si>
  <si>
    <t>NoDMA,2CH</t>
  </si>
  <si>
    <t>Spare</t>
  </si>
  <si>
    <t>NoDMA,1CH</t>
  </si>
  <si>
    <t>PA6</t>
  </si>
  <si>
    <t>TIM16</t>
  </si>
  <si>
    <t>TIM17</t>
  </si>
  <si>
    <t>USART2</t>
  </si>
  <si>
    <t>TIM6</t>
  </si>
  <si>
    <t>DMA,DAC</t>
  </si>
  <si>
    <t>TIM7</t>
  </si>
  <si>
    <t>PA5</t>
  </si>
  <si>
    <t>DAC</t>
  </si>
  <si>
    <t>RTS/CTS signals share USB D+/D- if flow control is needed instead of USB on PA11/12</t>
  </si>
  <si>
    <t>FPGA</t>
  </si>
  <si>
    <t>Emergency Stop</t>
  </si>
  <si>
    <t>PC0</t>
  </si>
  <si>
    <t>EXTI9</t>
  </si>
  <si>
    <t>PH9</t>
  </si>
  <si>
    <t>DAC1</t>
  </si>
  <si>
    <t>2CH + EXTI</t>
  </si>
  <si>
    <t>EXTI10</t>
  </si>
  <si>
    <t>PD10</t>
  </si>
  <si>
    <t>Wifi</t>
  </si>
  <si>
    <t>EXTI15</t>
  </si>
  <si>
    <t>PH15</t>
  </si>
  <si>
    <t>EXTI13</t>
  </si>
  <si>
    <t>Steppers/IO expander</t>
  </si>
  <si>
    <t>DMA,1CH</t>
  </si>
  <si>
    <t>DIGITAL_IN_1</t>
  </si>
  <si>
    <t>PD7</t>
  </si>
  <si>
    <t>PF10</t>
  </si>
  <si>
    <t>ANALOG_IN_1</t>
  </si>
  <si>
    <t>PA1_C</t>
  </si>
  <si>
    <t>PA0_C</t>
  </si>
  <si>
    <t>ADC1_INP1</t>
  </si>
  <si>
    <t>ADC1_INP0</t>
  </si>
  <si>
    <t>ADC3_INP0</t>
  </si>
  <si>
    <t>ADC3_INP1</t>
  </si>
  <si>
    <t>PC2_C</t>
  </si>
  <si>
    <t>PC3_C</t>
  </si>
  <si>
    <t>PG2</t>
  </si>
  <si>
    <t>PG3</t>
  </si>
  <si>
    <t>PG4</t>
  </si>
  <si>
    <t>PG5</t>
  </si>
  <si>
    <t>PG6</t>
  </si>
  <si>
    <t>PG7</t>
  </si>
  <si>
    <t>PG8</t>
  </si>
  <si>
    <t>PG15</t>
  </si>
  <si>
    <t>LED</t>
  </si>
  <si>
    <t>Can be PWM driven via DMA too</t>
  </si>
  <si>
    <t>PWM_OUT_1</t>
  </si>
  <si>
    <t>PWM_OUT_2</t>
  </si>
  <si>
    <t>PWM_OUT_3</t>
  </si>
  <si>
    <t>PWM_OUT_4</t>
  </si>
  <si>
    <t>PWM_OUT_5</t>
  </si>
  <si>
    <t>PWM_OUT_6</t>
  </si>
  <si>
    <t>PWM_OUT_7</t>
  </si>
  <si>
    <t>PWM_OUT_8</t>
  </si>
  <si>
    <t>PH2</t>
  </si>
  <si>
    <t>PH4</t>
  </si>
  <si>
    <t>DMA STREAM 1</t>
  </si>
  <si>
    <t>DMA STREAM 2</t>
  </si>
  <si>
    <t>Blow pump</t>
  </si>
  <si>
    <t>Vacuum pump</t>
  </si>
  <si>
    <t>Drag pin</t>
  </si>
  <si>
    <t>Head down light</t>
  </si>
  <si>
    <t>Vacuum switch 1</t>
  </si>
  <si>
    <t>Work light</t>
  </si>
  <si>
    <t>Up light</t>
  </si>
  <si>
    <t>Vacuum sense 1</t>
  </si>
  <si>
    <t>Vacuum sense 2</t>
  </si>
  <si>
    <t>PA11</t>
  </si>
  <si>
    <t>PA12</t>
  </si>
  <si>
    <t>Usage</t>
  </si>
  <si>
    <t>Pins</t>
  </si>
  <si>
    <t>n/a</t>
  </si>
  <si>
    <t>Low</t>
  </si>
  <si>
    <t>Output Push Pull</t>
  </si>
  <si>
    <t>No pull-up and no pull-down</t>
  </si>
  <si>
    <t>USB_OTG_HS_DM</t>
  </si>
  <si>
    <t>USB_OTG_HS_DP</t>
  </si>
  <si>
    <t>PA13(JTMS/SWDIO)</t>
  </si>
  <si>
    <t>DEBUG_JTMS-SWDIO</t>
  </si>
  <si>
    <t>PA14(JTCK/SWCLK)</t>
  </si>
  <si>
    <t>DEBUG_JTCK-SWCLK</t>
  </si>
  <si>
    <t>PC14-OSC32_IN</t>
  </si>
  <si>
    <t>RCC_OSC32_IN</t>
  </si>
  <si>
    <t>PC15-OSC32_OUT</t>
  </si>
  <si>
    <t>RCC_OSC32_OUT</t>
  </si>
  <si>
    <t>PH0-OSC_IN</t>
  </si>
  <si>
    <t>RCC_OSC_IN</t>
  </si>
  <si>
    <t>PH1-OSC_OUT</t>
  </si>
  <si>
    <t>RCC_OSC_OUT</t>
  </si>
  <si>
    <t>Input mode</t>
  </si>
  <si>
    <t>DIGITAL_IN_3</t>
  </si>
  <si>
    <t>DIGITAL_IN_4</t>
  </si>
  <si>
    <t>External Interrupt Mode with Rising edge trigger detection</t>
  </si>
  <si>
    <t>EXTI0_EMERGENCY_STOP</t>
  </si>
  <si>
    <t>EXTI13_STEPPERS</t>
  </si>
  <si>
    <t>EXTI10_WIFI</t>
  </si>
  <si>
    <t>PE15</t>
  </si>
  <si>
    <t>EXTI15_FPGA</t>
  </si>
  <si>
    <t>Analog mode</t>
  </si>
  <si>
    <t>DAC1_OUT1</t>
  </si>
  <si>
    <t>DAC1_OUT2</t>
  </si>
  <si>
    <t>TIM2_CH1</t>
  </si>
  <si>
    <t>Alternate Function Push Pull</t>
  </si>
  <si>
    <t>PA1</t>
  </si>
  <si>
    <t>ETH_REF_CLK</t>
  </si>
  <si>
    <t>PA2</t>
  </si>
  <si>
    <t>ETH_MDIO</t>
  </si>
  <si>
    <t>TIM5_CH4</t>
  </si>
  <si>
    <t>TIM13_CH1</t>
  </si>
  <si>
    <t>PA7</t>
  </si>
  <si>
    <t>ETH_CRS_DV</t>
  </si>
  <si>
    <t>PA8</t>
  </si>
  <si>
    <t>RCC_MCO_1</t>
  </si>
  <si>
    <t>PA9</t>
  </si>
  <si>
    <t>USART1_TX</t>
  </si>
  <si>
    <t>PA10</t>
  </si>
  <si>
    <t>USB_OTG_HS_ID</t>
  </si>
  <si>
    <t>PA15(JTDI)</t>
  </si>
  <si>
    <t>SPI3_NSS</t>
  </si>
  <si>
    <t>PB0</t>
  </si>
  <si>
    <t>TIM3_CH3</t>
  </si>
  <si>
    <t>PB1</t>
  </si>
  <si>
    <t>TIM3_CH4</t>
  </si>
  <si>
    <t>OCTOSPIM_P1_DQS</t>
  </si>
  <si>
    <t>Very High</t>
  </si>
  <si>
    <t>PB3(JTDO/TRACESWO)</t>
  </si>
  <si>
    <t>TIM2_CH2</t>
  </si>
  <si>
    <t>PB4(NJTRST)</t>
  </si>
  <si>
    <t>TIM3_CH1</t>
  </si>
  <si>
    <t>PB5</t>
  </si>
  <si>
    <t>TIM3_CH2</t>
  </si>
  <si>
    <t>PB6</t>
  </si>
  <si>
    <t>TIM4_CH1</t>
  </si>
  <si>
    <t>Disable</t>
  </si>
  <si>
    <t>PB7</t>
  </si>
  <si>
    <t>USART1_RX</t>
  </si>
  <si>
    <t>TIM17_CH1</t>
  </si>
  <si>
    <t>TIM2_CH3</t>
  </si>
  <si>
    <t>TIM2_CH4</t>
  </si>
  <si>
    <t>PB12</t>
  </si>
  <si>
    <t>SPI2_NSS</t>
  </si>
  <si>
    <t>PB13</t>
  </si>
  <si>
    <t>UART5_TX</t>
  </si>
  <si>
    <t>PB14</t>
  </si>
  <si>
    <t>SPI2_MISO</t>
  </si>
  <si>
    <t>PB15</t>
  </si>
  <si>
    <t>SPI2_MOSI</t>
  </si>
  <si>
    <t>PC1</t>
  </si>
  <si>
    <t>ETH_MDC</t>
  </si>
  <si>
    <t>OCTOSPIM_P1_IO2</t>
  </si>
  <si>
    <t>OCTOSPIM_P1_IO6</t>
  </si>
  <si>
    <t>PC4</t>
  </si>
  <si>
    <t>ETH_RXD0</t>
  </si>
  <si>
    <t>PC5</t>
  </si>
  <si>
    <t>ETH_RXD1</t>
  </si>
  <si>
    <t>TIM8_CH1</t>
  </si>
  <si>
    <t>TIM8_CH2</t>
  </si>
  <si>
    <t>TIM8_CH3</t>
  </si>
  <si>
    <t>TIM8_CH4</t>
  </si>
  <si>
    <t>SPI3_SCK</t>
  </si>
  <si>
    <t>SPI3_MISO</t>
  </si>
  <si>
    <t>SPI3_MOSI</t>
  </si>
  <si>
    <t>FDCAN1_RX</t>
  </si>
  <si>
    <t>UART4_TX</t>
  </si>
  <si>
    <t>UART5_RX</t>
  </si>
  <si>
    <t>PD3</t>
  </si>
  <si>
    <t>SPI2_SCK</t>
  </si>
  <si>
    <t>PD4</t>
  </si>
  <si>
    <t>OCTOSPIM_P1_IO4</t>
  </si>
  <si>
    <t>PD5</t>
  </si>
  <si>
    <t>USART2_TX</t>
  </si>
  <si>
    <t>PD6</t>
  </si>
  <si>
    <t>USART2_RX</t>
  </si>
  <si>
    <t>PD8</t>
  </si>
  <si>
    <t>USART3_TX</t>
  </si>
  <si>
    <t>PD9</t>
  </si>
  <si>
    <t>USART3_RX</t>
  </si>
  <si>
    <t>OCTOSPIM_P1_IO0</t>
  </si>
  <si>
    <t>PD12</t>
  </si>
  <si>
    <t>OCTOSPIM_P1_IO1</t>
  </si>
  <si>
    <t>PD13</t>
  </si>
  <si>
    <t>TIM4_CH2</t>
  </si>
  <si>
    <t>TIM4_CH3</t>
  </si>
  <si>
    <t>TIM4_CH4</t>
  </si>
  <si>
    <t>UART8_RX</t>
  </si>
  <si>
    <t>UART8_TX</t>
  </si>
  <si>
    <t>USART10_RX</t>
  </si>
  <si>
    <t>USART10_TX</t>
  </si>
  <si>
    <t>SPI4_NSS</t>
  </si>
  <si>
    <t>SPI4_MISO</t>
  </si>
  <si>
    <t>SPI4_MOSI</t>
  </si>
  <si>
    <t>UART7_RX</t>
  </si>
  <si>
    <t>UART7_TX</t>
  </si>
  <si>
    <t>TIM1_CH1</t>
  </si>
  <si>
    <t>PE10</t>
  </si>
  <si>
    <t>OCTOSPIM_P1_IO7</t>
  </si>
  <si>
    <t>TIM1_CH2</t>
  </si>
  <si>
    <t>SPI4_SCK</t>
  </si>
  <si>
    <t>TIM1_CH3</t>
  </si>
  <si>
    <t>TIM1_CH4</t>
  </si>
  <si>
    <t>PF0</t>
  </si>
  <si>
    <t>TIM23_CH1</t>
  </si>
  <si>
    <t>PF1</t>
  </si>
  <si>
    <t>TIM23_CH2</t>
  </si>
  <si>
    <t>PF2</t>
  </si>
  <si>
    <t>TIM23_CH3</t>
  </si>
  <si>
    <t>PF3</t>
  </si>
  <si>
    <t>TIM23_CH4</t>
  </si>
  <si>
    <t>PF4</t>
  </si>
  <si>
    <t>OCTOSPIM_P2_CLK</t>
  </si>
  <si>
    <t>PF5</t>
  </si>
  <si>
    <t>OCTOSPIM_P2_NCLK</t>
  </si>
  <si>
    <t>PF6</t>
  </si>
  <si>
    <t>OCTOSPIM_P1_IO3</t>
  </si>
  <si>
    <t>PF7</t>
  </si>
  <si>
    <t>FDCAN3_TX</t>
  </si>
  <si>
    <t>PF8</t>
  </si>
  <si>
    <t>SPI5_MISO</t>
  </si>
  <si>
    <t>PF9</t>
  </si>
  <si>
    <t>SPI5_MOSI</t>
  </si>
  <si>
    <t>PF11</t>
  </si>
  <si>
    <t>TIM24_CH1</t>
  </si>
  <si>
    <t>PF12</t>
  </si>
  <si>
    <t>TIM24_CH2</t>
  </si>
  <si>
    <t>PF13</t>
  </si>
  <si>
    <t>TIM24_CH3</t>
  </si>
  <si>
    <t>PF14</t>
  </si>
  <si>
    <t>TIM24_CH4</t>
  </si>
  <si>
    <t>PG0</t>
  </si>
  <si>
    <t>UART9_RX</t>
  </si>
  <si>
    <t>PG1</t>
  </si>
  <si>
    <t>UART9_TX</t>
  </si>
  <si>
    <t>OCTOSPIM_P1_NCS</t>
  </si>
  <si>
    <t>USART6_RX</t>
  </si>
  <si>
    <t>PG10</t>
  </si>
  <si>
    <t>FDCAN3_RX</t>
  </si>
  <si>
    <t>PG11</t>
  </si>
  <si>
    <t>ETH_TX_EN</t>
  </si>
  <si>
    <t>PG12</t>
  </si>
  <si>
    <t>ETH_TXD1</t>
  </si>
  <si>
    <t>PG13</t>
  </si>
  <si>
    <t>ETH_TXD0</t>
  </si>
  <si>
    <t>USART6_TX</t>
  </si>
  <si>
    <t>PH3</t>
  </si>
  <si>
    <t>OCTOSPIM_P1_IO5</t>
  </si>
  <si>
    <t>PH5</t>
  </si>
  <si>
    <t>SPI5_NSS</t>
  </si>
  <si>
    <t>PH6</t>
  </si>
  <si>
    <t>SPI5_SCK</t>
  </si>
  <si>
    <t>PH10</t>
  </si>
  <si>
    <t>TIM5_CH1</t>
  </si>
  <si>
    <t>PH11</t>
  </si>
  <si>
    <t>TIM5_CH2</t>
  </si>
  <si>
    <t>PH12</t>
  </si>
  <si>
    <t>TIM5_CH3</t>
  </si>
  <si>
    <t>PH13</t>
  </si>
  <si>
    <t>FDCAN1_TX</t>
  </si>
  <si>
    <t>PH14</t>
  </si>
  <si>
    <t>UART4_RX</t>
  </si>
  <si>
    <t>PB8</t>
  </si>
  <si>
    <t>I2C4_SCL</t>
  </si>
  <si>
    <t>Alternate Function Open Drain</t>
  </si>
  <si>
    <t>I2C4_SDA</t>
  </si>
  <si>
    <t>PH7</t>
  </si>
  <si>
    <t>I2C3_SCL</t>
  </si>
  <si>
    <t>PH8</t>
  </si>
  <si>
    <t>I2C3_SDA</t>
  </si>
  <si>
    <t>Pin</t>
  </si>
  <si>
    <t>Signal</t>
  </si>
  <si>
    <t>Mode</t>
  </si>
  <si>
    <t>GPIO Output level</t>
  </si>
  <si>
    <t>Pu/Pd</t>
  </si>
  <si>
    <t>Speed</t>
  </si>
  <si>
    <t>Fast mode</t>
  </si>
  <si>
    <t>Label</t>
  </si>
  <si>
    <t>Modified</t>
  </si>
  <si>
    <t>RX</t>
  </si>
  <si>
    <t>TX</t>
  </si>
  <si>
    <t>USART1</t>
  </si>
  <si>
    <t>Stepper 1</t>
  </si>
  <si>
    <t>Stepper 2</t>
  </si>
  <si>
    <t>Stepper 3</t>
  </si>
  <si>
    <t>Stepper 4</t>
  </si>
  <si>
    <t>Stepper 5</t>
  </si>
  <si>
    <t>Stepper 6</t>
  </si>
  <si>
    <t>Stepper 7</t>
  </si>
  <si>
    <t>CH1</t>
  </si>
  <si>
    <t>CH2</t>
  </si>
  <si>
    <t>CH3</t>
  </si>
  <si>
    <t>CH4</t>
  </si>
  <si>
    <t>DMA,2CH</t>
  </si>
  <si>
    <t>Pin numbers</t>
  </si>
  <si>
    <t>Sorted pin numbers</t>
  </si>
  <si>
    <t>Advanced,Encoder,16bit,DMA,4CH</t>
  </si>
  <si>
    <t>Encoder,32bit,DMA,4CH</t>
  </si>
  <si>
    <t>Encoder,16bit,DMA,4CH</t>
  </si>
  <si>
    <t>P1_DQS</t>
  </si>
  <si>
    <t>OCTOSPIM</t>
  </si>
  <si>
    <t>P2_NCLK</t>
  </si>
  <si>
    <t>P2_CLK</t>
  </si>
  <si>
    <t>P1_IO0</t>
  </si>
  <si>
    <t>P1_IO1</t>
  </si>
  <si>
    <t>P1_IO2</t>
  </si>
  <si>
    <t>P1_IO3</t>
  </si>
  <si>
    <t>P1_IO4</t>
  </si>
  <si>
    <t>P1_IO5</t>
  </si>
  <si>
    <t>P1_IO6</t>
  </si>
  <si>
    <t>P1_IO7</t>
  </si>
  <si>
    <t>DIGITAL_IN_2</t>
  </si>
  <si>
    <t>ANALOG_IN_3</t>
  </si>
  <si>
    <t>ANALOG_IN_2</t>
  </si>
  <si>
    <t>ANALOG_IN_4</t>
  </si>
  <si>
    <t>DM</t>
  </si>
  <si>
    <t>DP</t>
  </si>
  <si>
    <t>ID</t>
  </si>
  <si>
    <t>USB_OTG_HS</t>
  </si>
  <si>
    <t>PWM Fan 1</t>
  </si>
  <si>
    <t>PWM Fan 2</t>
  </si>
  <si>
    <t>Spare without DMA</t>
  </si>
  <si>
    <t>Step/Dir/Step/Dir</t>
  </si>
  <si>
    <t>SCK</t>
  </si>
  <si>
    <t>MISO</t>
  </si>
  <si>
    <t>MOSI</t>
  </si>
  <si>
    <t>NSS</t>
  </si>
  <si>
    <t>Port 1 Encoder A/B/N + NSS2</t>
  </si>
  <si>
    <t>Port 2 Encoder A/B/N + NSS2</t>
  </si>
  <si>
    <t>Port 4 Encoder A/B/N + NSS2</t>
  </si>
  <si>
    <t>Port 3 Encoder A/B/N + NSS2</t>
  </si>
  <si>
    <t>Peripheral/IO</t>
  </si>
  <si>
    <t>EXTI5</t>
  </si>
  <si>
    <t>EXTI6</t>
  </si>
  <si>
    <t>EXTI7</t>
  </si>
  <si>
    <t>EXTI8</t>
  </si>
  <si>
    <t>EXTI11</t>
  </si>
  <si>
    <t>EXTI12</t>
  </si>
  <si>
    <t>EXTI14</t>
  </si>
  <si>
    <t>UART A</t>
  </si>
  <si>
    <t>UART B</t>
  </si>
  <si>
    <t>Stepper 8</t>
  </si>
  <si>
    <t>UART or USART with flow control when not using USB.</t>
  </si>
  <si>
    <t>Scenarios</t>
  </si>
  <si>
    <t>Two large TYPE A cards plugged into ports 1/2 and 3/4.</t>
  </si>
  <si>
    <t>advanced timer, 32 bit timer, 2 encoders, 1 spi, 1 HW NSS, 2 uarts</t>
  </si>
  <si>
    <t>normal timer, 32 bit timer, 2 encoders, 1 spi, 1 HW NSS, 2 uarts</t>
  </si>
  <si>
    <t>1 advanced timer, 1 normal timer, 2x32 bit timers with 4 encoders, 2 SPI + 2 HW NSS, 2 UARTS</t>
  </si>
  <si>
    <t>2x TYPE B cards plugged into port 1 and 3 + 2x TYPE C cards plugged into port 2 and 4</t>
  </si>
  <si>
    <t>4x TYPE D cards plugged into ports 1-4</t>
  </si>
  <si>
    <t>normal timer, 32 bit timer, 2 encoders, 1 spi, 1 HW NSS, 1 uart, 2 exti</t>
  </si>
  <si>
    <t>4x TYPE C cards plugged into ports 1-4</t>
  </si>
  <si>
    <t>TYPE A</t>
  </si>
  <si>
    <t>TYPE B</t>
  </si>
  <si>
    <t>TYPE C</t>
  </si>
  <si>
    <t>TYPE D</t>
  </si>
  <si>
    <t>TYPE E</t>
  </si>
  <si>
    <t>EXTIs</t>
  </si>
  <si>
    <t>ALL UART B EXTIS are usable when using SPI, a single UART or timers for comms</t>
  </si>
  <si>
    <t>ITR0</t>
  </si>
  <si>
    <t>ITR3</t>
  </si>
  <si>
    <t>ITR2</t>
  </si>
  <si>
    <t>Timer1 to Timer 2 signal</t>
  </si>
  <si>
    <t>All Timer 1's have interconnects to Timer 2's (Table 94, Peripheral interconnect matrix details)</t>
  </si>
  <si>
    <t>Timer 2 to Timer  1 signal</t>
  </si>
  <si>
    <t>ITR1</t>
  </si>
  <si>
    <t>ITR12</t>
  </si>
  <si>
    <t>ITR13</t>
  </si>
  <si>
    <t>RESERVED EXTIs:</t>
  </si>
  <si>
    <t>Used GPIO ports for SPI</t>
  </si>
  <si>
    <t>Use to drive MDMA to generate 16 step/dir signals on SPI pins</t>
  </si>
  <si>
    <t>2xTMC2209</t>
  </si>
  <si>
    <t>2x TYPE E cards plugged into ports 2 and 4</t>
  </si>
  <si>
    <t>2xTMC5160</t>
  </si>
  <si>
    <t>Encoder signals go to TMC5160</t>
  </si>
  <si>
    <t>CH3/4 Extis</t>
  </si>
  <si>
    <t>4,5,2,3</t>
  </si>
  <si>
    <t>14,15,13,14</t>
  </si>
  <si>
    <t>13,14,10,11</t>
  </si>
  <si>
    <t>8,9,11,12</t>
  </si>
  <si>
    <t>ABN encoder signals on CH1/2/4</t>
  </si>
  <si>
    <t>Use CH3 pins as EXTI</t>
  </si>
  <si>
    <t>2 uarts, 2 ABN encoders,bit-bash/MDMA 2 pairs of step/dir on spi pins</t>
  </si>
  <si>
    <t>EXTI9_DAC</t>
  </si>
  <si>
    <t>TODO</t>
  </si>
  <si>
    <t xml:space="preserve">2nd slave select pin for each port, </t>
  </si>
  <si>
    <t>Head communication (RS422, no flow control)</t>
  </si>
  <si>
    <t>FDCAN1</t>
  </si>
  <si>
    <t>FDCAN3</t>
  </si>
  <si>
    <t>Feeder communications</t>
  </si>
  <si>
    <t>Head and Port communications</t>
  </si>
  <si>
    <t>Possibly memory mapped, with EXTI, 8IO lines, CLK,NCS,DQS and Hyperbus NCLK</t>
  </si>
  <si>
    <t>I2C3</t>
  </si>
  <si>
    <t>SDA</t>
  </si>
  <si>
    <t>SCL</t>
  </si>
  <si>
    <t>I2C4</t>
  </si>
  <si>
    <t>DAC_EXTI</t>
  </si>
  <si>
    <t>How to program the flash chip for the FPGA from the MCU?</t>
  </si>
  <si>
    <t>See if it's possible to enable SPI1 or SPI6</t>
  </si>
  <si>
    <t>Need SPI1 or SPI6 for wifi comms!</t>
  </si>
  <si>
    <t>Consider changing OCTOSPI to 4 pins for the FPGA, does this enable the use of SPI1 or SPI6? If so do 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</si>
</sst>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2" fillId="0" borderId="0" xfId="0" applyFont="1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49F8C-CB29-487D-8DD9-D3E1A5AEA09B}">
  <dimension ref="A2:G23"/>
  <sheetViews>
    <sheetView workbookViewId="0">
      <selection activeCell="A2" sqref="A2:G2"/>
    </sheetView>
    <sheetView workbookViewId="1"/>
  </sheetViews>
  <sheetFormatPr defaultRowHeight="15" x14ac:dyDescent="0.25"/>
  <sheetData>
    <row r="2" spans="1:7" x14ac:dyDescent="0.25">
      <c r="A2" t="s">
        <v>0</v>
      </c>
      <c r="B2" t="s">
        <v>6</v>
      </c>
      <c r="C2" t="s">
        <v>19</v>
      </c>
      <c r="D2" t="s">
        <v>7</v>
      </c>
      <c r="F2" t="s">
        <v>20</v>
      </c>
      <c r="G2" t="s">
        <v>8</v>
      </c>
    </row>
    <row r="3" spans="1:7" x14ac:dyDescent="0.25">
      <c r="A3">
        <v>1</v>
      </c>
      <c r="B3" t="s">
        <v>1</v>
      </c>
      <c r="C3" t="s">
        <v>16</v>
      </c>
      <c r="G3" t="s">
        <v>9</v>
      </c>
    </row>
    <row r="4" spans="1:7" x14ac:dyDescent="0.25">
      <c r="A4">
        <v>2</v>
      </c>
      <c r="B4" t="s">
        <v>5</v>
      </c>
      <c r="C4" t="s">
        <v>16</v>
      </c>
      <c r="G4" t="s">
        <v>10</v>
      </c>
    </row>
    <row r="5" spans="1:7" x14ac:dyDescent="0.25">
      <c r="A5">
        <v>3</v>
      </c>
      <c r="B5" t="s">
        <v>3</v>
      </c>
      <c r="C5" t="s">
        <v>16</v>
      </c>
      <c r="D5" t="s">
        <v>2</v>
      </c>
      <c r="E5" t="s">
        <v>18</v>
      </c>
      <c r="F5" s="1" t="s">
        <v>26</v>
      </c>
      <c r="G5" t="s">
        <v>11</v>
      </c>
    </row>
    <row r="6" spans="1:7" x14ac:dyDescent="0.25">
      <c r="A6">
        <v>4</v>
      </c>
      <c r="B6" t="s">
        <v>4</v>
      </c>
      <c r="C6" t="s">
        <v>16</v>
      </c>
      <c r="D6" t="s">
        <v>13</v>
      </c>
      <c r="E6" t="s">
        <v>18</v>
      </c>
      <c r="F6" s="1" t="s">
        <v>26</v>
      </c>
      <c r="G6" t="s">
        <v>12</v>
      </c>
    </row>
    <row r="15" spans="1:7" x14ac:dyDescent="0.25">
      <c r="D15" t="s">
        <v>2</v>
      </c>
      <c r="E15" t="s">
        <v>18</v>
      </c>
      <c r="F15" t="s">
        <v>22</v>
      </c>
    </row>
    <row r="16" spans="1:7" x14ac:dyDescent="0.25">
      <c r="D16" t="s">
        <v>14</v>
      </c>
      <c r="E16" t="s">
        <v>18</v>
      </c>
      <c r="F16" t="s">
        <v>22</v>
      </c>
    </row>
    <row r="17" spans="4:6" x14ac:dyDescent="0.25">
      <c r="D17" t="s">
        <v>23</v>
      </c>
      <c r="E17" t="s">
        <v>25</v>
      </c>
    </row>
    <row r="18" spans="4:6" x14ac:dyDescent="0.25">
      <c r="D18" t="s">
        <v>24</v>
      </c>
      <c r="E18" t="s">
        <v>25</v>
      </c>
    </row>
    <row r="22" spans="4:6" x14ac:dyDescent="0.25">
      <c r="D22" t="s">
        <v>13</v>
      </c>
      <c r="E22" t="s">
        <v>18</v>
      </c>
      <c r="F22" t="s">
        <v>21</v>
      </c>
    </row>
    <row r="23" spans="4:6" x14ac:dyDescent="0.25">
      <c r="D23" t="s">
        <v>15</v>
      </c>
      <c r="E23" t="s">
        <v>17</v>
      </c>
      <c r="F23" t="s">
        <v>21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43AF4-3E82-4C6F-BBDC-67A6D55A3ABB}">
  <dimension ref="A1:N55"/>
  <sheetViews>
    <sheetView workbookViewId="0">
      <selection activeCell="F27" sqref="F27:G27"/>
    </sheetView>
    <sheetView topLeftCell="A19" workbookViewId="1">
      <selection activeCell="A15" sqref="A15"/>
    </sheetView>
  </sheetViews>
  <sheetFormatPr defaultColWidth="12.5703125" defaultRowHeight="15" x14ac:dyDescent="0.25"/>
  <cols>
    <col min="1" max="1" width="21.85546875" customWidth="1"/>
  </cols>
  <sheetData>
    <row r="1" spans="1:12" x14ac:dyDescent="0.25">
      <c r="A1" t="s">
        <v>0</v>
      </c>
      <c r="B1" t="s">
        <v>6</v>
      </c>
      <c r="E1" t="s">
        <v>88</v>
      </c>
      <c r="F1" t="s">
        <v>28</v>
      </c>
      <c r="G1" t="s">
        <v>20</v>
      </c>
      <c r="H1" t="s">
        <v>7</v>
      </c>
      <c r="I1" t="s">
        <v>28</v>
      </c>
      <c r="J1" t="s">
        <v>20</v>
      </c>
      <c r="K1" t="s">
        <v>43</v>
      </c>
      <c r="L1" t="s">
        <v>44</v>
      </c>
    </row>
    <row r="2" spans="1:12" x14ac:dyDescent="0.25">
      <c r="A2">
        <v>1</v>
      </c>
      <c r="C2" t="s">
        <v>1</v>
      </c>
      <c r="E2" t="s">
        <v>89</v>
      </c>
      <c r="F2" t="s">
        <v>30</v>
      </c>
      <c r="G2" s="1" t="s">
        <v>26</v>
      </c>
      <c r="H2" t="s">
        <v>2</v>
      </c>
      <c r="I2" t="s">
        <v>27</v>
      </c>
      <c r="J2" t="s">
        <v>21</v>
      </c>
      <c r="K2" t="s">
        <v>9</v>
      </c>
      <c r="L2" t="s">
        <v>67</v>
      </c>
    </row>
    <row r="3" spans="1:12" x14ac:dyDescent="0.25">
      <c r="A3">
        <v>2</v>
      </c>
      <c r="C3" t="s">
        <v>5</v>
      </c>
      <c r="E3" t="s">
        <v>89</v>
      </c>
      <c r="F3" t="s">
        <v>30</v>
      </c>
      <c r="G3" s="1" t="s">
        <v>26</v>
      </c>
      <c r="H3" t="s">
        <v>13</v>
      </c>
      <c r="I3" t="s">
        <v>27</v>
      </c>
      <c r="J3" t="s">
        <v>21</v>
      </c>
      <c r="K3" t="s">
        <v>11</v>
      </c>
      <c r="L3" t="s">
        <v>83</v>
      </c>
    </row>
    <row r="4" spans="1:12" x14ac:dyDescent="0.25">
      <c r="A4">
        <v>3</v>
      </c>
      <c r="C4" t="s">
        <v>3</v>
      </c>
      <c r="E4" t="s">
        <v>90</v>
      </c>
      <c r="F4" t="s">
        <v>30</v>
      </c>
      <c r="G4" s="1" t="s">
        <v>26</v>
      </c>
      <c r="H4" t="s">
        <v>14</v>
      </c>
      <c r="I4" t="s">
        <v>29</v>
      </c>
      <c r="J4" s="1" t="s">
        <v>26</v>
      </c>
      <c r="K4" t="s">
        <v>10</v>
      </c>
      <c r="L4" t="s">
        <v>38</v>
      </c>
    </row>
    <row r="5" spans="1:12" x14ac:dyDescent="0.25">
      <c r="A5">
        <v>4</v>
      </c>
      <c r="C5" t="s">
        <v>4</v>
      </c>
      <c r="E5" t="s">
        <v>90</v>
      </c>
      <c r="F5" t="s">
        <v>30</v>
      </c>
      <c r="G5" s="1" t="s">
        <v>26</v>
      </c>
      <c r="H5" t="s">
        <v>15</v>
      </c>
      <c r="I5" t="s">
        <v>29</v>
      </c>
      <c r="J5" s="1" t="s">
        <v>26</v>
      </c>
      <c r="K5" t="s">
        <v>12</v>
      </c>
      <c r="L5" t="s">
        <v>39</v>
      </c>
    </row>
    <row r="7" spans="1:12" x14ac:dyDescent="0.25">
      <c r="A7" t="s">
        <v>33</v>
      </c>
    </row>
    <row r="8" spans="1:12" x14ac:dyDescent="0.25">
      <c r="A8" t="s">
        <v>31</v>
      </c>
      <c r="B8" t="s">
        <v>32</v>
      </c>
    </row>
    <row r="10" spans="1:12" x14ac:dyDescent="0.25">
      <c r="A10" t="s">
        <v>34</v>
      </c>
    </row>
    <row r="12" spans="1:12" x14ac:dyDescent="0.25">
      <c r="A12" t="s">
        <v>40</v>
      </c>
    </row>
    <row r="13" spans="1:12" x14ac:dyDescent="0.25">
      <c r="A13" t="s">
        <v>94</v>
      </c>
    </row>
    <row r="14" spans="1:12" x14ac:dyDescent="0.25">
      <c r="A14" t="s">
        <v>95</v>
      </c>
    </row>
    <row r="15" spans="1:12" x14ac:dyDescent="0.25">
      <c r="A15" t="s">
        <v>42</v>
      </c>
    </row>
    <row r="16" spans="1:12" x14ac:dyDescent="0.25">
      <c r="A16" t="s">
        <v>41</v>
      </c>
    </row>
    <row r="18" spans="1:7" x14ac:dyDescent="0.25">
      <c r="A18" t="s">
        <v>87</v>
      </c>
    </row>
    <row r="19" spans="1:7" x14ac:dyDescent="0.25">
      <c r="A19" t="s">
        <v>85</v>
      </c>
    </row>
    <row r="20" spans="1:7" x14ac:dyDescent="0.25">
      <c r="A20" t="s">
        <v>86</v>
      </c>
    </row>
    <row r="21" spans="1:7" x14ac:dyDescent="0.25">
      <c r="A21" t="s">
        <v>96</v>
      </c>
    </row>
    <row r="22" spans="1:7" x14ac:dyDescent="0.25">
      <c r="A22" t="s">
        <v>97</v>
      </c>
    </row>
    <row r="23" spans="1:7" x14ac:dyDescent="0.25">
      <c r="A23" t="s">
        <v>98</v>
      </c>
      <c r="B23" t="s">
        <v>99</v>
      </c>
      <c r="C23" t="s">
        <v>49</v>
      </c>
    </row>
    <row r="24" spans="1:7" x14ac:dyDescent="0.25">
      <c r="A24" t="s">
        <v>93</v>
      </c>
      <c r="B24" t="s">
        <v>100</v>
      </c>
      <c r="C24" t="s">
        <v>49</v>
      </c>
    </row>
    <row r="25" spans="1:7" x14ac:dyDescent="0.25">
      <c r="A25" t="s">
        <v>101</v>
      </c>
      <c r="B25" t="s">
        <v>102</v>
      </c>
      <c r="C25" t="s">
        <v>49</v>
      </c>
    </row>
    <row r="27" spans="1:7" x14ac:dyDescent="0.25">
      <c r="A27" t="s">
        <v>9</v>
      </c>
      <c r="B27" t="s">
        <v>45</v>
      </c>
      <c r="C27" t="s">
        <v>46</v>
      </c>
      <c r="D27" t="s">
        <v>47</v>
      </c>
      <c r="E27" t="s">
        <v>48</v>
      </c>
      <c r="F27" t="str" cm="1">
        <f t="array" ref="F27">_xlfn.TEXTJOIN("", TRUE,
    IF(
        (ISNUMBER(--MID(_xlfn.TEXTJOIN(",", TRUE, B27:E27), _xlfn.SEQUENCE(LEN(_xlfn.TEXTJOIN(",", TRUE, B27:E27))), 1))) +
        (MID(_xlfn.TEXTJOIN(",", TRUE, B27:E27), _xlfn.SEQUENCE(LEN(_xlfn.TEXTJOIN(",", TRUE, B27:E27))), 1) = ","),
        MID(_xlfn.TEXTJOIN(",", TRUE, B27:E27), _xlfn.SEQUENCE(LEN(_xlfn.TEXTJOIN(",", TRUE, B27:E27))), 1),
        ""
    )
)</f>
        <v>9,10,2,3</v>
      </c>
      <c r="G27" t="str" cm="1">
        <f t="array" ref="G27">_xlfn.TEXTJOIN(",", TRUE, _xlfn.SORTBY(_xlfn._xlws.FILTER(--TRIM(_xlfn.TEXTSPLIT(F27, ",")), ISNUMBER(--TRIM(_xlfn.TEXTSPLIT(F27, ",")))), --_xlfn._xlws.FILTER(--TRIM(_xlfn.TEXTSPLIT(F27, ",")), ISNUMBER(--TRIM(_xlfn.TEXTSPLIT(F27, ","))))))</f>
        <v>2,3,9,10</v>
      </c>
    </row>
    <row r="28" spans="1:7" x14ac:dyDescent="0.25">
      <c r="A28" t="s">
        <v>36</v>
      </c>
      <c r="B28" s="2" t="s">
        <v>54</v>
      </c>
      <c r="C28" t="s">
        <v>55</v>
      </c>
      <c r="F28" t="str" cm="1">
        <f t="array" ref="F28">_xlfn.TEXTJOIN("", TRUE,
    IF(
        (ISNUMBER(--MID(_xlfn.TEXTJOIN(",", TRUE, B28:E28), _xlfn.SEQUENCE(LEN(_xlfn.TEXTJOIN(",", TRUE, B28:E28))), 1))) +
        (MID(_xlfn.TEXTJOIN(",", TRUE, B28:E28), _xlfn.SEQUENCE(LEN(_xlfn.TEXTJOIN(",", TRUE, B28:E28))), 1) = ","),
        MID(_xlfn.TEXTJOIN(",", TRUE, B28:E28), _xlfn.SEQUENCE(LEN(_xlfn.TEXTJOIN(",", TRUE, B28:E28))), 1),
        ""
    )
)</f>
        <v>2,12</v>
      </c>
      <c r="G28" t="str" cm="1">
        <f t="array" ref="G28">_xlfn.TEXTJOIN(",", TRUE, _xlfn.SORTBY(_xlfn._xlws.FILTER(--TRIM(_xlfn.TEXTSPLIT(F28, ",")), ISNUMBER(--TRIM(_xlfn.TEXTSPLIT(F28, ",")))), --_xlfn._xlws.FILTER(--TRIM(_xlfn.TEXTSPLIT(F28, ",")), ISNUMBER(--TRIM(_xlfn.TEXTSPLIT(F28, ","))))))</f>
        <v>2,12</v>
      </c>
    </row>
    <row r="29" spans="1:7" x14ac:dyDescent="0.25">
      <c r="A29" t="s">
        <v>37</v>
      </c>
      <c r="B29" s="2" t="s">
        <v>65</v>
      </c>
      <c r="C29" t="s">
        <v>66</v>
      </c>
      <c r="F29" t="str" cm="1">
        <f t="array" ref="F29">_xlfn.TEXTJOIN("", TRUE,
    IF(
        (ISNUMBER(--MID(_xlfn.TEXTJOIN(",", TRUE, B29:E29), _xlfn.SEQUENCE(LEN(_xlfn.TEXTJOIN(",", TRUE, B29:E29))), 1))) +
        (MID(_xlfn.TEXTJOIN(",", TRUE, B29:E29), _xlfn.SEQUENCE(LEN(_xlfn.TEXTJOIN(",", TRUE, B29:E29))), 1) = ","),
        MID(_xlfn.TEXTJOIN(",", TRUE, B29:E29), _xlfn.SEQUENCE(LEN(_xlfn.TEXTJOIN(",", TRUE, B29:E29))), 1),
        ""
    )
)</f>
        <v>7,8</v>
      </c>
      <c r="G29" t="str" cm="1">
        <f t="array" ref="G29">_xlfn.TEXTJOIN(",", TRUE, _xlfn.SORTBY(_xlfn._xlws.FILTER(--TRIM(_xlfn.TEXTSPLIT(F29, ",")), ISNUMBER(--TRIM(_xlfn.TEXTSPLIT(F29, ",")))), --_xlfn._xlws.FILTER(--TRIM(_xlfn.TEXTSPLIT(F29, ",")), ISNUMBER(--TRIM(_xlfn.TEXTSPLIT(F29, ","))))))</f>
        <v>7,8</v>
      </c>
    </row>
    <row r="30" spans="1:7" x14ac:dyDescent="0.25">
      <c r="A30" t="s">
        <v>11</v>
      </c>
      <c r="B30" s="2" t="s">
        <v>69</v>
      </c>
      <c r="C30" s="2" t="s">
        <v>70</v>
      </c>
      <c r="D30" s="2" t="s">
        <v>71</v>
      </c>
      <c r="E30" s="2" t="s">
        <v>72</v>
      </c>
      <c r="F30" t="str" cm="1">
        <f t="array" ref="F30">_xlfn.TEXTJOIN("", TRUE,
    IF(
        (ISNUMBER(--MID(_xlfn.TEXTJOIN(",", TRUE, B30:E30), _xlfn.SEQUENCE(LEN(_xlfn.TEXTJOIN(",", TRUE, B30:E30))), 1))) +
        (MID(_xlfn.TEXTJOIN(",", TRUE, B30:E30), _xlfn.SEQUENCE(LEN(_xlfn.TEXTJOIN(",", TRUE, B30:E30))), 1) = ","),
        MID(_xlfn.TEXTJOIN(",", TRUE, B30:E30), _xlfn.SEQUENCE(LEN(_xlfn.TEXTJOIN(",", TRUE, B30:E30))), 1),
        ""
    )
)</f>
        <v>4,5,6,12</v>
      </c>
      <c r="G30" t="str" cm="1">
        <f t="array" ref="G30">_xlfn.TEXTJOIN(",", TRUE, _xlfn.SORTBY(_xlfn._xlws.FILTER(--TRIM(_xlfn.TEXTSPLIT(F30, ",")), ISNUMBER(--TRIM(_xlfn.TEXTSPLIT(F30, ",")))), --_xlfn._xlws.FILTER(--TRIM(_xlfn.TEXTSPLIT(F30, ",")), ISNUMBER(--TRIM(_xlfn.TEXTSPLIT(F30, ","))))))</f>
        <v>4,5,6,12</v>
      </c>
    </row>
    <row r="31" spans="1:7" x14ac:dyDescent="0.25">
      <c r="A31" t="s">
        <v>35</v>
      </c>
      <c r="B31" t="s">
        <v>52</v>
      </c>
      <c r="C31" t="s">
        <v>53</v>
      </c>
      <c r="F31" t="str" cm="1">
        <f t="array" ref="F31">_xlfn.TEXTJOIN("", TRUE,
    IF(
        (ISNUMBER(--MID(_xlfn.TEXTJOIN(",", TRUE, B31:E31), _xlfn.SEQUENCE(LEN(_xlfn.TEXTJOIN(",", TRUE, B31:E31))), 1))) +
        (MID(_xlfn.TEXTJOIN(",", TRUE, B31:E31), _xlfn.SEQUENCE(LEN(_xlfn.TEXTJOIN(",", TRUE, B31:E31))), 1) = ","),
        MID(_xlfn.TEXTJOIN(",", TRUE, B31:E31), _xlfn.SEQUENCE(LEN(_xlfn.TEXTJOIN(",", TRUE, B31:E31))), 1),
        ""
    )
)</f>
        <v>0,1</v>
      </c>
      <c r="G31" t="str" cm="1">
        <f t="array" ref="G31">_xlfn.TEXTJOIN(",", TRUE, _xlfn.SORTBY(_xlfn._xlws.FILTER(--TRIM(_xlfn.TEXTSPLIT(F31, ",")), ISNUMBER(--TRIM(_xlfn.TEXTSPLIT(F31, ",")))), --_xlfn._xlws.FILTER(--TRIM(_xlfn.TEXTSPLIT(F31, ",")), ISNUMBER(--TRIM(_xlfn.TEXTSPLIT(F31, ","))))))</f>
        <v>0,1</v>
      </c>
    </row>
    <row r="32" spans="1:7" x14ac:dyDescent="0.25">
      <c r="A32" t="s">
        <v>73</v>
      </c>
      <c r="B32" s="2" t="s">
        <v>74</v>
      </c>
      <c r="C32" s="2" t="s">
        <v>75</v>
      </c>
      <c r="F32" t="str" cm="1">
        <f t="array" ref="F32">_xlfn.TEXTJOIN("", TRUE,
    IF(
        (ISNUMBER(--MID(_xlfn.TEXTJOIN(",", TRUE, B32:E32), _xlfn.SEQUENCE(LEN(_xlfn.TEXTJOIN(",", TRUE, B32:E32))), 1))) +
        (MID(_xlfn.TEXTJOIN(",", TRUE, B32:E32), _xlfn.SEQUENCE(LEN(_xlfn.TEXTJOIN(",", TRUE, B32:E32))), 1) = ","),
        MID(_xlfn.TEXTJOIN(",", TRUE, B32:E32), _xlfn.SEQUENCE(LEN(_xlfn.TEXTJOIN(",", TRUE, B32:E32))), 1),
        ""
    )
)</f>
        <v>9,14</v>
      </c>
      <c r="G32" t="str" cm="1">
        <f t="array" ref="G32">_xlfn.TEXTJOIN(",", TRUE, _xlfn.SORTBY(_xlfn._xlws.FILTER(--TRIM(_xlfn.TEXTSPLIT(F32, ",")), ISNUMBER(--TRIM(_xlfn.TEXTSPLIT(F32, ",")))), --_xlfn._xlws.FILTER(--TRIM(_xlfn.TEXTSPLIT(F32, ",")), ISNUMBER(--TRIM(_xlfn.TEXTSPLIT(F32, ","))))))</f>
        <v>9,14</v>
      </c>
    </row>
    <row r="33" spans="1:9" x14ac:dyDescent="0.25">
      <c r="A33" t="s">
        <v>10</v>
      </c>
      <c r="B33" t="s">
        <v>60</v>
      </c>
      <c r="C33" t="s">
        <v>61</v>
      </c>
      <c r="D33" t="s">
        <v>62</v>
      </c>
      <c r="E33" t="s">
        <v>63</v>
      </c>
      <c r="F33" t="str" cm="1">
        <f t="array" ref="F33">_xlfn.TEXTJOIN("", TRUE,
    IF(
        (ISNUMBER(--MID(_xlfn.TEXTJOIN(",", TRUE, B33:E33), _xlfn.SEQUENCE(LEN(_xlfn.TEXTJOIN(",", TRUE, B33:E33))), 1))) +
        (MID(_xlfn.TEXTJOIN(",", TRUE, B33:E33), _xlfn.SEQUENCE(LEN(_xlfn.TEXTJOIN(",", TRUE, B33:E33))), 1) = ","),
        MID(_xlfn.TEXTJOIN(",", TRUE, B33:E33), _xlfn.SEQUENCE(LEN(_xlfn.TEXTJOIN(",", TRUE, B33:E33))), 1),
        ""
    )
)</f>
        <v>4,2,10,11</v>
      </c>
      <c r="G33" t="str" cm="1">
        <f t="array" ref="G33">_xlfn.TEXTJOIN(",", TRUE, _xlfn.SORTBY(_xlfn._xlws.FILTER(--TRIM(_xlfn.TEXTSPLIT(F33, ",")), ISNUMBER(--TRIM(_xlfn.TEXTSPLIT(F33, ",")))), --_xlfn._xlws.FILTER(--TRIM(_xlfn.TEXTSPLIT(F33, ",")), ISNUMBER(--TRIM(_xlfn.TEXTSPLIT(F33, ","))))))</f>
        <v>2,4,10,11</v>
      </c>
    </row>
    <row r="34" spans="1:9" x14ac:dyDescent="0.25">
      <c r="A34" t="s">
        <v>38</v>
      </c>
      <c r="B34" s="2" t="s">
        <v>91</v>
      </c>
      <c r="C34" t="s">
        <v>92</v>
      </c>
      <c r="F34" t="str" cm="1">
        <f t="array" ref="F34">_xlfn.TEXTJOIN("", TRUE,
    IF(
        (ISNUMBER(--MID(_xlfn.TEXTJOIN(",", TRUE, B34:E34), _xlfn.SEQUENCE(LEN(_xlfn.TEXTJOIN(",", TRUE, B34:E34))), 1))) +
        (MID(_xlfn.TEXTJOIN(",", TRUE, B34:E34), _xlfn.SEQUENCE(LEN(_xlfn.TEXTJOIN(",", TRUE, B34:E34))), 1) = ","),
        MID(_xlfn.TEXTJOIN(",", TRUE, B34:E34), _xlfn.SEQUENCE(LEN(_xlfn.TEXTJOIN(",", TRUE, B34:E34))), 1),
        ""
    )
)</f>
        <v>0,1</v>
      </c>
      <c r="G34" t="str" cm="1">
        <f t="array" ref="G34">_xlfn.TEXTJOIN(",", TRUE, _xlfn.SORTBY(_xlfn._xlws.FILTER(--TRIM(_xlfn.TEXTSPLIT(F34, ",")), ISNUMBER(--TRIM(_xlfn.TEXTSPLIT(F34, ",")))), --_xlfn._xlws.FILTER(--TRIM(_xlfn.TEXTSPLIT(F34, ",")), ISNUMBER(--TRIM(_xlfn.TEXTSPLIT(F34, ","))))))</f>
        <v>0,1</v>
      </c>
    </row>
    <row r="35" spans="1:9" x14ac:dyDescent="0.25">
      <c r="A35" t="s">
        <v>105</v>
      </c>
      <c r="B35" s="2" t="s">
        <v>106</v>
      </c>
      <c r="C35" s="2" t="s">
        <v>107</v>
      </c>
      <c r="F35" t="str" cm="1">
        <f t="array" ref="F35">_xlfn.TEXTJOIN("", TRUE,
    IF(
        (ISNUMBER(--MID(_xlfn.TEXTJOIN(",", TRUE, B35:E35), _xlfn.SEQUENCE(LEN(_xlfn.TEXTJOIN(",", TRUE, B35:E35))), 1))) +
        (MID(_xlfn.TEXTJOIN(",", TRUE, B35:E35), _xlfn.SEQUENCE(LEN(_xlfn.TEXTJOIN(",", TRUE, B35:E35))), 1) = ","),
        MID(_xlfn.TEXTJOIN(",", TRUE, B35:E35), _xlfn.SEQUENCE(LEN(_xlfn.TEXTJOIN(",", TRUE, B35:E35))), 1),
        ""
    )
)</f>
        <v>14,15</v>
      </c>
      <c r="G35" t="str" cm="1">
        <f t="array" ref="G35">_xlfn.TEXTJOIN(",", TRUE, _xlfn.SORTBY(_xlfn._xlws.FILTER(--TRIM(_xlfn.TEXTSPLIT(F35, ",")), ISNUMBER(--TRIM(_xlfn.TEXTSPLIT(F35, ",")))), --_xlfn._xlws.FILTER(--TRIM(_xlfn.TEXTSPLIT(F35, ",")), ISNUMBER(--TRIM(_xlfn.TEXTSPLIT(F35, ","))))))</f>
        <v>14,15</v>
      </c>
      <c r="I35" s="2" t="s">
        <v>108</v>
      </c>
    </row>
    <row r="36" spans="1:9" x14ac:dyDescent="0.25">
      <c r="A36" t="s">
        <v>12</v>
      </c>
      <c r="B36" s="2" t="s">
        <v>77</v>
      </c>
      <c r="C36" t="s">
        <v>78</v>
      </c>
      <c r="D36" t="s">
        <v>79</v>
      </c>
      <c r="E36" t="s">
        <v>80</v>
      </c>
      <c r="F36" t="str" cm="1">
        <f t="array" ref="F36">_xlfn.TEXTJOIN("", TRUE,
    IF(
        (ISNUMBER(--MID(_xlfn.TEXTJOIN(",", TRUE, B36:E36), _xlfn.SEQUENCE(LEN(_xlfn.TEXTJOIN(",", TRUE, B36:E36))), 1))) +
        (MID(_xlfn.TEXTJOIN(",", TRUE, B36:E36), _xlfn.SEQUENCE(LEN(_xlfn.TEXTJOIN(",", TRUE, B36:E36))), 1) = ","),
        MID(_xlfn.TEXTJOIN(",", TRUE, B36:E36), _xlfn.SEQUENCE(LEN(_xlfn.TEXTJOIN(",", TRUE, B36:E36))), 1),
        ""
    )
)</f>
        <v>10,11,0,1</v>
      </c>
      <c r="G36" t="str" cm="1">
        <f t="array" ref="G36">_xlfn.TEXTJOIN(",", TRUE, _xlfn.SORTBY(_xlfn._xlws.FILTER(--TRIM(_xlfn.TEXTSPLIT(F36, ",")), ISNUMBER(--TRIM(_xlfn.TEXTSPLIT(F36, ",")))), --_xlfn._xlws.FILTER(--TRIM(_xlfn.TEXTSPLIT(F36, ",")), ISNUMBER(--TRIM(_xlfn.TEXTSPLIT(F36, ","))))))</f>
        <v>0,1,10,11</v>
      </c>
    </row>
    <row r="37" spans="1:9" x14ac:dyDescent="0.25">
      <c r="A37" t="s">
        <v>84</v>
      </c>
      <c r="B37" s="2" t="s">
        <v>81</v>
      </c>
      <c r="C37" t="s">
        <v>82</v>
      </c>
      <c r="F37" t="str" cm="1">
        <f t="array" ref="F37">_xlfn.TEXTJOIN("", TRUE,
    IF(
        (ISNUMBER(--MID(_xlfn.TEXTJOIN(",", TRUE, B37:E37), _xlfn.SEQUENCE(LEN(_xlfn.TEXTJOIN(",", TRUE, B37:E37))), 1))) +
        (MID(_xlfn.TEXTJOIN(",", TRUE, B37:E37), _xlfn.SEQUENCE(LEN(_xlfn.TEXTJOIN(",", TRUE, B37:E37))), 1) = ","),
        MID(_xlfn.TEXTJOIN(",", TRUE, B37:E37), _xlfn.SEQUENCE(LEN(_xlfn.TEXTJOIN(",", TRUE, B37:E37))), 1),
        ""
    )
)</f>
        <v>2,3</v>
      </c>
      <c r="G37" t="str" cm="1">
        <f t="array" ref="G37">_xlfn.TEXTJOIN(",", TRUE, _xlfn.SORTBY(_xlfn._xlws.FILTER(--TRIM(_xlfn.TEXTSPLIT(F37, ",")), ISNUMBER(--TRIM(_xlfn.TEXTSPLIT(F37, ",")))), --_xlfn._xlws.FILTER(--TRIM(_xlfn.TEXTSPLIT(F37, ",")), ISNUMBER(--TRIM(_xlfn.TEXTSPLIT(F37, ","))))))</f>
        <v>2,3</v>
      </c>
    </row>
    <row r="38" spans="1:9" x14ac:dyDescent="0.25">
      <c r="A38" t="s">
        <v>111</v>
      </c>
      <c r="B38" s="2" t="s">
        <v>62</v>
      </c>
      <c r="C38" t="s">
        <v>63</v>
      </c>
      <c r="F38" t="str" cm="1">
        <f t="array" ref="F38">_xlfn.TEXTJOIN("", TRUE,
    IF(
        (ISNUMBER(--MID(_xlfn.TEXTJOIN(",", TRUE, B38:E38), _xlfn.SEQUENCE(LEN(_xlfn.TEXTJOIN(",", TRUE, B38:E38))), 1))) +
        (MID(_xlfn.TEXTJOIN(",", TRUE, B38:E38), _xlfn.SEQUENCE(LEN(_xlfn.TEXTJOIN(",", TRUE, B38:E38))), 1) = ","),
        MID(_xlfn.TEXTJOIN(",", TRUE, B38:E38), _xlfn.SEQUENCE(LEN(_xlfn.TEXTJOIN(",", TRUE, B38:E38))), 1),
        ""
    )
)</f>
        <v>10,11</v>
      </c>
      <c r="G38" t="str" cm="1">
        <f t="array" ref="G38">_xlfn.TEXTJOIN(",", TRUE, _xlfn.SORTBY(_xlfn._xlws.FILTER(--TRIM(_xlfn.TEXTSPLIT(F38, ",")), ISNUMBER(--TRIM(_xlfn.TEXTSPLIT(F38, ",")))), --_xlfn._xlws.FILTER(--TRIM(_xlfn.TEXTSPLIT(F38, ",")), ISNUMBER(--TRIM(_xlfn.TEXTSPLIT(F38, ","))))))</f>
        <v>10,11</v>
      </c>
    </row>
    <row r="39" spans="1:9" x14ac:dyDescent="0.25">
      <c r="A39" t="s">
        <v>1</v>
      </c>
      <c r="B39" s="2" t="s">
        <v>117</v>
      </c>
      <c r="C39" t="s">
        <v>118</v>
      </c>
      <c r="D39" t="s">
        <v>119</v>
      </c>
      <c r="E39" t="s">
        <v>120</v>
      </c>
      <c r="F39" t="str" cm="1">
        <f t="array" ref="F39">_xlfn.TEXTJOIN("", TRUE,
    IF(
        (ISNUMBER(--MID(_xlfn.TEXTJOIN(",", TRUE, B39:E39), _xlfn.SEQUENCE(LEN(_xlfn.TEXTJOIN(",", TRUE, B39:E39))), 1))) +
        (MID(_xlfn.TEXTJOIN(",", TRUE, B39:E39), _xlfn.SEQUENCE(LEN(_xlfn.TEXTJOIN(",", TRUE, B39:E39))), 1) = ","),
        MID(_xlfn.TEXTJOIN(",", TRUE, B39:E39), _xlfn.SEQUENCE(LEN(_xlfn.TEXTJOIN(",", TRUE, B39:E39))), 1),
        ""
    )
)</f>
        <v>9,11,13,14</v>
      </c>
      <c r="G39" t="str" cm="1">
        <f t="array" ref="G39">_xlfn.TEXTJOIN(",", TRUE, _xlfn.SORTBY(_xlfn._xlws.FILTER(--TRIM(_xlfn.TEXTSPLIT(F39, ",")), ISNUMBER(--TRIM(_xlfn.TEXTSPLIT(F39, ",")))), --_xlfn._xlws.FILTER(--TRIM(_xlfn.TEXTSPLIT(F39, ",")), ISNUMBER(--TRIM(_xlfn.TEXTSPLIT(F39, ","))))))</f>
        <v>9,11,13,14</v>
      </c>
    </row>
    <row r="40" spans="1:9" x14ac:dyDescent="0.25">
      <c r="A40" t="s">
        <v>2</v>
      </c>
      <c r="B40" s="2" t="s">
        <v>121</v>
      </c>
      <c r="C40" t="s">
        <v>122</v>
      </c>
    </row>
    <row r="41" spans="1:9" x14ac:dyDescent="0.25">
      <c r="A41" t="s">
        <v>5</v>
      </c>
      <c r="B41" s="2" t="s">
        <v>123</v>
      </c>
      <c r="C41" s="2" t="s">
        <v>124</v>
      </c>
      <c r="D41" s="2" t="s">
        <v>125</v>
      </c>
      <c r="E41" s="2" t="s">
        <v>126</v>
      </c>
    </row>
    <row r="42" spans="1:9" x14ac:dyDescent="0.25">
      <c r="A42" t="s">
        <v>13</v>
      </c>
      <c r="B42" s="2" t="s">
        <v>127</v>
      </c>
      <c r="C42" t="s">
        <v>128</v>
      </c>
    </row>
    <row r="43" spans="1:9" x14ac:dyDescent="0.25">
      <c r="A43" t="s">
        <v>3</v>
      </c>
      <c r="B43" s="2"/>
    </row>
    <row r="44" spans="1:9" x14ac:dyDescent="0.25">
      <c r="B44" s="2"/>
    </row>
    <row r="45" spans="1:9" x14ac:dyDescent="0.25">
      <c r="B45" s="2"/>
    </row>
    <row r="46" spans="1:9" x14ac:dyDescent="0.25">
      <c r="B46" s="2"/>
    </row>
    <row r="47" spans="1:9" x14ac:dyDescent="0.25">
      <c r="B47" s="2"/>
    </row>
    <row r="48" spans="1:9" x14ac:dyDescent="0.25">
      <c r="C48" t="s">
        <v>104</v>
      </c>
      <c r="F48" t="s">
        <v>113</v>
      </c>
    </row>
    <row r="49" spans="1:14" x14ac:dyDescent="0.25">
      <c r="A49" t="s">
        <v>103</v>
      </c>
      <c r="B49" t="s">
        <v>9</v>
      </c>
      <c r="C49" t="str">
        <f>_xlfn.XLOOKUP(B49,$A$27:$A$37,$F$27:$F$37)</f>
        <v>9,10,2,3</v>
      </c>
      <c r="E49" t="s">
        <v>37</v>
      </c>
      <c r="F49" t="str">
        <f>_xlfn.XLOOKUP(E49,$A$27:$A$37,$F$27:$F$37)</f>
        <v>7,8</v>
      </c>
      <c r="G49" t="s">
        <v>36</v>
      </c>
      <c r="H49" t="str">
        <f>_xlfn.XLOOKUP(G49,$A$27:$A$37,$F$27:$F$37)</f>
        <v>2,12</v>
      </c>
      <c r="I49" t="s">
        <v>115</v>
      </c>
      <c r="J49" t="str">
        <f>IF(I49="TMC5160",_xlfn.CONCAT($F49,",",$H49),$C49)</f>
        <v>7,8,2,12</v>
      </c>
      <c r="K49" t="s">
        <v>116</v>
      </c>
      <c r="L49" t="str">
        <f>IF(K49="TMC5160",_xlfn.CONCAT($F49,",",$H49),$C49)</f>
        <v>9,10,2,3</v>
      </c>
      <c r="M49" t="s">
        <v>115</v>
      </c>
      <c r="N49" t="str">
        <f>IF(M49="TMC5160",_xlfn.CONCAT($F49,",",$H49),$C49)</f>
        <v>7,8,2,12</v>
      </c>
    </row>
    <row r="50" spans="1:14" x14ac:dyDescent="0.25">
      <c r="A50" t="s">
        <v>103</v>
      </c>
      <c r="B50" t="s">
        <v>10</v>
      </c>
      <c r="C50" t="str">
        <f>_xlfn.XLOOKUP(B50,$A$27:$A$37,$F$27:$F$37)</f>
        <v>4,2,10,11</v>
      </c>
      <c r="E50" t="s">
        <v>73</v>
      </c>
      <c r="F50" t="str">
        <f>_xlfn.XLOOKUP(E50,$A$27:$A$37,$F$27:$F$37)</f>
        <v>9,14</v>
      </c>
      <c r="G50" t="s">
        <v>38</v>
      </c>
      <c r="H50" t="str">
        <f>_xlfn.XLOOKUP(G50,$A$27:$A$37,$F$27:$F$37)</f>
        <v>0,1</v>
      </c>
      <c r="I50" t="s">
        <v>115</v>
      </c>
      <c r="J50" t="str">
        <f>IF(I50="TMC5160",_xlfn.CONCAT($F50,",",$H50),$C50)</f>
        <v>9,14,0,1</v>
      </c>
      <c r="K50" t="s">
        <v>116</v>
      </c>
      <c r="L50" t="str">
        <f>IF(K50="TMC5160",_xlfn.CONCAT($F50,",",$H50),$C50)</f>
        <v>4,2,10,11</v>
      </c>
      <c r="M50" t="s">
        <v>115</v>
      </c>
      <c r="N50" t="str">
        <f>IF(M50="TMC5160",_xlfn.CONCAT($F50,",",$H50),$C50)</f>
        <v>9,14,0,1</v>
      </c>
    </row>
    <row r="51" spans="1:14" x14ac:dyDescent="0.25">
      <c r="A51" t="s">
        <v>103</v>
      </c>
      <c r="B51" t="s">
        <v>11</v>
      </c>
      <c r="C51" t="str">
        <f>_xlfn.XLOOKUP(B51,$A$27:$A$37,$F$27:$F$37)</f>
        <v>4,5,6,12</v>
      </c>
      <c r="E51" t="s">
        <v>35</v>
      </c>
      <c r="F51" t="str">
        <f>_xlfn.XLOOKUP(E51,$A$27:$A$37,$F$27:$F$37)</f>
        <v>0,1</v>
      </c>
      <c r="G51" t="s">
        <v>109</v>
      </c>
      <c r="H51" t="s">
        <v>110</v>
      </c>
      <c r="I51" t="s">
        <v>115</v>
      </c>
      <c r="J51" t="str">
        <f>IF(I51="TMC5160",_xlfn.CONCAT($F51,",",$H51),$C51)</f>
        <v>0,1,10,11</v>
      </c>
      <c r="K51" t="s">
        <v>116</v>
      </c>
      <c r="L51" t="str">
        <f>IF(K51="TMC5160",_xlfn.CONCAT($F51,",",$H51),$C51)</f>
        <v>4,5,6,12</v>
      </c>
      <c r="M51" t="s">
        <v>116</v>
      </c>
      <c r="N51" t="str">
        <f>IF(M51="TMC5160",_xlfn.CONCAT($F51,",",$H51),$C51)</f>
        <v>4,5,6,12</v>
      </c>
    </row>
    <row r="52" spans="1:14" x14ac:dyDescent="0.25">
      <c r="A52" t="s">
        <v>103</v>
      </c>
      <c r="B52" t="s">
        <v>12</v>
      </c>
      <c r="C52" t="str">
        <f>_xlfn.XLOOKUP(B52,$A$27:$A$37,$F$27:$F$37)</f>
        <v>10,11,0,1</v>
      </c>
      <c r="E52" t="s">
        <v>84</v>
      </c>
      <c r="F52" t="str">
        <f>_xlfn.XLOOKUP(E52,$A$27:$A$37,$F$27:$F$37)</f>
        <v>2,3</v>
      </c>
      <c r="G52" t="s">
        <v>105</v>
      </c>
      <c r="H52" t="str">
        <f>_xlfn.XLOOKUP(G52,$A$27:$A$37,$F$27:$F$37)</f>
        <v>14,15</v>
      </c>
      <c r="I52" t="s">
        <v>115</v>
      </c>
      <c r="J52" t="str">
        <f>IF(I52="TMC5160",_xlfn.CONCAT($F52,",",$H52),$C52)</f>
        <v>2,3,14,15</v>
      </c>
      <c r="K52" t="s">
        <v>116</v>
      </c>
      <c r="L52" t="str">
        <f>IF(K52="TMC5160",_xlfn.CONCAT($F52,",",$H52),$C52)</f>
        <v>10,11,0,1</v>
      </c>
      <c r="M52" t="s">
        <v>116</v>
      </c>
      <c r="N52" t="str">
        <f>IF(M52="TMC5160",_xlfn.CONCAT($F52,",",$H52),$C52)</f>
        <v>10,11,0,1</v>
      </c>
    </row>
    <row r="54" spans="1:14" x14ac:dyDescent="0.25">
      <c r="A54" t="s">
        <v>114</v>
      </c>
    </row>
    <row r="55" spans="1:14" x14ac:dyDescent="0.25">
      <c r="A55" t="s">
        <v>112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E5D7C-73CD-4684-9992-8F63AACE455E}">
  <dimension ref="A1:N32"/>
  <sheetViews>
    <sheetView workbookViewId="0"/>
    <sheetView tabSelected="1" workbookViewId="1">
      <selection activeCell="B29" sqref="B29"/>
    </sheetView>
  </sheetViews>
  <sheetFormatPr defaultRowHeight="15" x14ac:dyDescent="0.25"/>
  <cols>
    <col min="3" max="3" width="9.7109375" bestFit="1" customWidth="1"/>
    <col min="5" max="5" width="10.7109375" bestFit="1" customWidth="1"/>
    <col min="6" max="6" width="22.28515625" bestFit="1" customWidth="1"/>
    <col min="7" max="7" width="22.28515625" customWidth="1"/>
    <col min="8" max="8" width="13.5703125" bestFit="1" customWidth="1"/>
    <col min="9" max="9" width="13.5703125" customWidth="1"/>
    <col min="10" max="10" width="15.42578125" bestFit="1" customWidth="1"/>
    <col min="11" max="11" width="15.42578125" customWidth="1"/>
  </cols>
  <sheetData>
    <row r="1" spans="1:14" x14ac:dyDescent="0.25">
      <c r="A1" t="s">
        <v>0</v>
      </c>
      <c r="B1" t="s">
        <v>6</v>
      </c>
      <c r="C1" t="s">
        <v>490</v>
      </c>
      <c r="D1" t="s">
        <v>7</v>
      </c>
      <c r="E1" t="s">
        <v>490</v>
      </c>
      <c r="F1" t="s">
        <v>495</v>
      </c>
      <c r="G1" t="s">
        <v>497</v>
      </c>
      <c r="H1" t="s">
        <v>43</v>
      </c>
      <c r="I1" t="s">
        <v>490</v>
      </c>
      <c r="J1" t="s">
        <v>472</v>
      </c>
      <c r="K1" t="s">
        <v>490</v>
      </c>
      <c r="L1" t="s">
        <v>473</v>
      </c>
      <c r="M1" t="s">
        <v>490</v>
      </c>
      <c r="N1" t="s">
        <v>508</v>
      </c>
    </row>
    <row r="2" spans="1:14" x14ac:dyDescent="0.25">
      <c r="A2">
        <v>1</v>
      </c>
      <c r="B2" t="s">
        <v>1</v>
      </c>
      <c r="C2" t="str">
        <f>_xlfn.XLOOKUP(B2,'UFBFA176+25 Peripherals'!$A:$A,'UFBFA176+25 Peripherals'!$I:$I,"N/A")</f>
        <v>9,11,13,14</v>
      </c>
      <c r="D2" t="s">
        <v>2</v>
      </c>
      <c r="E2" t="str">
        <f>_xlfn.XLOOKUP(D2,'UFBFA176+25 Peripherals'!$A:$A,'UFBFA176+25 Peripherals'!$I:$I,"N/A")</f>
        <v>0,3,10,11</v>
      </c>
      <c r="F2" t="s">
        <v>492</v>
      </c>
      <c r="G2" t="s">
        <v>498</v>
      </c>
      <c r="H2" t="s">
        <v>9</v>
      </c>
      <c r="I2" t="str">
        <f>_xlfn.XLOOKUP(H2,'UFBFA176+25 Peripherals'!$A:$A,'UFBFA176+25 Peripherals'!$I:$I,"N/A")</f>
        <v>3,12,14,15</v>
      </c>
      <c r="J2" t="s">
        <v>36</v>
      </c>
      <c r="K2" t="str">
        <f>_xlfn.XLOOKUP(J2,'UFBFA176+25 Peripherals'!$A:$A,'UFBFA176+25 Peripherals'!$I:$I,"N/A")</f>
        <v>2,13</v>
      </c>
      <c r="L2" t="s">
        <v>138</v>
      </c>
      <c r="M2" t="str">
        <f>_xlfn.XLOOKUP(L2,'UFBFA176+25 Peripherals'!$A:$A,'UFBFA176+25 Peripherals'!$I:$I,"N/A")</f>
        <v>5,6</v>
      </c>
      <c r="N2" t="s">
        <v>511</v>
      </c>
    </row>
    <row r="3" spans="1:14" x14ac:dyDescent="0.25">
      <c r="A3">
        <v>2</v>
      </c>
      <c r="B3" t="s">
        <v>3</v>
      </c>
      <c r="C3" t="str">
        <f>_xlfn.XLOOKUP(B3,'UFBFA176+25 Peripherals'!$A:$A,'UFBFA176+25 Peripherals'!$I:$I,"N/A")</f>
        <v>0,1,4,5</v>
      </c>
      <c r="D3" t="s">
        <v>14</v>
      </c>
      <c r="E3" t="str">
        <f>_xlfn.XLOOKUP(D3,'UFBFA176+25 Peripherals'!$A:$A,'UFBFA176+25 Peripherals'!$I:$I,"N/A")</f>
        <v>0,1,2,3</v>
      </c>
      <c r="F3" t="s">
        <v>494</v>
      </c>
      <c r="G3" t="s">
        <v>499</v>
      </c>
      <c r="H3" t="s">
        <v>11</v>
      </c>
      <c r="I3" t="str">
        <f>_xlfn.XLOOKUP(H3,'UFBFA176+25 Peripherals'!$A:$A,'UFBFA176+25 Peripherals'!$I:$I,"N/A")</f>
        <v>4,5,6,12</v>
      </c>
      <c r="J3" t="s">
        <v>109</v>
      </c>
      <c r="K3" t="str">
        <f>_xlfn.XLOOKUP(J3,'UFBFA176+25 Peripherals'!$A:$A,'UFBFA176+25 Peripherals'!$I:$I,"N/A")</f>
        <v>8,9</v>
      </c>
      <c r="L3" t="s">
        <v>35</v>
      </c>
      <c r="M3" t="str">
        <f>_xlfn.XLOOKUP(L3,'UFBFA176+25 Peripherals'!$A:$A,'UFBFA176+25 Peripherals'!$I:$I,"N/A")</f>
        <v>1,14</v>
      </c>
      <c r="N3" t="s">
        <v>509</v>
      </c>
    </row>
    <row r="4" spans="1:14" x14ac:dyDescent="0.25">
      <c r="A4">
        <v>3</v>
      </c>
      <c r="B4" t="s">
        <v>5</v>
      </c>
      <c r="C4" t="str">
        <f>_xlfn.XLOOKUP(B4,'UFBFA176+25 Peripherals'!$A:$A,'UFBFA176+25 Peripherals'!$I:$I,"N/A")</f>
        <v>6,7,8,9</v>
      </c>
      <c r="D4" t="s">
        <v>13</v>
      </c>
      <c r="E4" t="str">
        <f>_xlfn.XLOOKUP(D4,'UFBFA176+25 Peripherals'!$A:$A,'UFBFA176+25 Peripherals'!$I:$I,"N/A")</f>
        <v>3,10,11,12</v>
      </c>
      <c r="F4" t="s">
        <v>498</v>
      </c>
      <c r="G4" t="s">
        <v>493</v>
      </c>
      <c r="H4" t="s">
        <v>10</v>
      </c>
      <c r="I4" t="str">
        <f>_xlfn.XLOOKUP(H4,'UFBFA176+25 Peripherals'!$A:$A,'UFBFA176+25 Peripherals'!$I:$I,"N/A")</f>
        <v>10,11,12,15</v>
      </c>
      <c r="J4" t="s">
        <v>38</v>
      </c>
      <c r="K4" t="str">
        <f>_xlfn.XLOOKUP(J4,'UFBFA176+25 Peripherals'!$A:$A,'UFBFA176+25 Peripherals'!$I:$I,"N/A")</f>
        <v>0,1</v>
      </c>
      <c r="L4" t="s">
        <v>84</v>
      </c>
      <c r="M4" t="str">
        <f>_xlfn.XLOOKUP(L4,'UFBFA176+25 Peripherals'!$A:$A,'UFBFA176+25 Peripherals'!$I:$I,"N/A")</f>
        <v>2,3</v>
      </c>
      <c r="N4" t="s">
        <v>512</v>
      </c>
    </row>
    <row r="5" spans="1:14" x14ac:dyDescent="0.25">
      <c r="A5">
        <v>4</v>
      </c>
      <c r="B5" t="s">
        <v>4</v>
      </c>
      <c r="C5" t="str">
        <f>_xlfn.XLOOKUP(B5,'UFBFA176+25 Peripherals'!$A:$A,'UFBFA176+25 Peripherals'!$I:$I,"N/A")</f>
        <v>6,13,14,15</v>
      </c>
      <c r="D5" t="s">
        <v>15</v>
      </c>
      <c r="E5" t="str">
        <f>_xlfn.XLOOKUP(D5,'UFBFA176+25 Peripherals'!$A:$A,'UFBFA176+25 Peripherals'!$I:$I,"N/A")</f>
        <v>11,12,13,14</v>
      </c>
      <c r="F5" t="s">
        <v>493</v>
      </c>
      <c r="G5" t="s">
        <v>500</v>
      </c>
      <c r="H5" t="s">
        <v>12</v>
      </c>
      <c r="I5" t="str">
        <f>_xlfn.XLOOKUP(H5,'UFBFA176+25 Peripherals'!$A:$A,'UFBFA176+25 Peripherals'!$I:$I,"N/A")</f>
        <v>5,6,8,9</v>
      </c>
      <c r="J5" t="s">
        <v>73</v>
      </c>
      <c r="K5" t="str">
        <f>_xlfn.XLOOKUP(J5,'UFBFA176+25 Peripherals'!$A:$A,'UFBFA176+25 Peripherals'!$I:$I,"N/A")</f>
        <v>9,14</v>
      </c>
      <c r="L5" t="s">
        <v>37</v>
      </c>
      <c r="M5" t="str">
        <f>_xlfn.XLOOKUP(L5,'UFBFA176+25 Peripherals'!$A:$A,'UFBFA176+25 Peripherals'!$I:$I,"N/A")</f>
        <v>7,8</v>
      </c>
      <c r="N5" t="s">
        <v>510</v>
      </c>
    </row>
    <row r="7" spans="1:14" x14ac:dyDescent="0.25">
      <c r="A7" t="s">
        <v>491</v>
      </c>
    </row>
    <row r="8" spans="1:14" x14ac:dyDescent="0.25">
      <c r="A8" t="s">
        <v>496</v>
      </c>
    </row>
    <row r="9" spans="1:14" x14ac:dyDescent="0.25">
      <c r="A9" t="s">
        <v>501</v>
      </c>
      <c r="C9" t="str">
        <f>'UFBFA176+25 Peripherals'!B69</f>
        <v>0,9,10,13,15</v>
      </c>
    </row>
    <row r="11" spans="1:14" x14ac:dyDescent="0.25">
      <c r="A11" t="s">
        <v>476</v>
      </c>
    </row>
    <row r="12" spans="1:14" x14ac:dyDescent="0.25">
      <c r="A12">
        <v>1</v>
      </c>
      <c r="B12" t="s">
        <v>477</v>
      </c>
    </row>
    <row r="13" spans="1:14" x14ac:dyDescent="0.25">
      <c r="A13">
        <v>2</v>
      </c>
      <c r="B13" t="s">
        <v>481</v>
      </c>
    </row>
    <row r="14" spans="1:14" x14ac:dyDescent="0.25">
      <c r="A14">
        <v>3</v>
      </c>
      <c r="B14" t="s">
        <v>484</v>
      </c>
    </row>
    <row r="15" spans="1:14" x14ac:dyDescent="0.25">
      <c r="A15">
        <v>4</v>
      </c>
      <c r="B15" t="s">
        <v>482</v>
      </c>
    </row>
    <row r="16" spans="1:14" x14ac:dyDescent="0.25">
      <c r="A16">
        <v>5</v>
      </c>
      <c r="B16" t="s">
        <v>505</v>
      </c>
    </row>
    <row r="18" spans="1:11" x14ac:dyDescent="0.25">
      <c r="A18" t="s">
        <v>485</v>
      </c>
      <c r="B18" t="s">
        <v>480</v>
      </c>
    </row>
    <row r="19" spans="1:11" x14ac:dyDescent="0.25">
      <c r="A19" t="s">
        <v>486</v>
      </c>
      <c r="B19" t="s">
        <v>478</v>
      </c>
    </row>
    <row r="20" spans="1:11" x14ac:dyDescent="0.25">
      <c r="A20" t="s">
        <v>487</v>
      </c>
      <c r="B20" t="s">
        <v>479</v>
      </c>
    </row>
    <row r="21" spans="1:11" x14ac:dyDescent="0.25">
      <c r="A21" t="s">
        <v>488</v>
      </c>
      <c r="B21" t="s">
        <v>483</v>
      </c>
      <c r="H21" t="s">
        <v>506</v>
      </c>
      <c r="I21" t="s">
        <v>507</v>
      </c>
    </row>
    <row r="22" spans="1:11" x14ac:dyDescent="0.25">
      <c r="A22" t="s">
        <v>489</v>
      </c>
      <c r="B22" t="s">
        <v>515</v>
      </c>
      <c r="H22" t="s">
        <v>504</v>
      </c>
      <c r="I22" t="s">
        <v>513</v>
      </c>
      <c r="K22" t="s">
        <v>514</v>
      </c>
    </row>
    <row r="26" spans="1:11" x14ac:dyDescent="0.25">
      <c r="A26" t="s">
        <v>517</v>
      </c>
    </row>
    <row r="27" spans="1:11" x14ac:dyDescent="0.25">
      <c r="B27" t="s">
        <v>518</v>
      </c>
    </row>
    <row r="28" spans="1:11" x14ac:dyDescent="0.25">
      <c r="B28" t="s">
        <v>532</v>
      </c>
    </row>
    <row r="29" spans="1:11" x14ac:dyDescent="0.25">
      <c r="B29" t="s">
        <v>533</v>
      </c>
    </row>
    <row r="30" spans="1:11" x14ac:dyDescent="0.25">
      <c r="B30" t="s">
        <v>530</v>
      </c>
    </row>
    <row r="31" spans="1:11" x14ac:dyDescent="0.25">
      <c r="B31" t="s">
        <v>531</v>
      </c>
    </row>
    <row r="32" spans="1:11" x14ac:dyDescent="0.25">
      <c r="B32" t="s">
        <v>532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DCCF-6249-4668-B225-7F06A2FCE957}">
  <dimension ref="A1:O93"/>
  <sheetViews>
    <sheetView tabSelected="1" topLeftCell="A40" workbookViewId="0">
      <selection activeCell="C54" sqref="C54"/>
    </sheetView>
    <sheetView topLeftCell="A42" workbookViewId="1">
      <selection activeCell="C47" sqref="C47"/>
    </sheetView>
  </sheetViews>
  <sheetFormatPr defaultRowHeight="15" x14ac:dyDescent="0.25"/>
  <cols>
    <col min="1" max="1" width="15.5703125" bestFit="1" customWidth="1"/>
    <col min="2" max="2" width="31.42578125" bestFit="1" customWidth="1"/>
    <col min="3" max="3" width="66" customWidth="1"/>
    <col min="8" max="8" width="13.28515625" customWidth="1"/>
    <col min="9" max="9" width="13.7109375" customWidth="1"/>
  </cols>
  <sheetData>
    <row r="1" spans="1:9" x14ac:dyDescent="0.25">
      <c r="A1" t="s">
        <v>464</v>
      </c>
      <c r="B1" t="s">
        <v>28</v>
      </c>
      <c r="C1" t="s">
        <v>205</v>
      </c>
      <c r="D1" t="s">
        <v>206</v>
      </c>
      <c r="H1" t="s">
        <v>427</v>
      </c>
      <c r="I1" t="s">
        <v>428</v>
      </c>
    </row>
    <row r="2" spans="1:9" x14ac:dyDescent="0.25">
      <c r="D2" t="s">
        <v>422</v>
      </c>
      <c r="E2" t="s">
        <v>423</v>
      </c>
      <c r="F2" t="s">
        <v>424</v>
      </c>
      <c r="G2" t="s">
        <v>425</v>
      </c>
    </row>
    <row r="3" spans="1:9" x14ac:dyDescent="0.25">
      <c r="A3" t="s">
        <v>1</v>
      </c>
      <c r="B3" t="s">
        <v>429</v>
      </c>
      <c r="C3" t="s">
        <v>460</v>
      </c>
      <c r="D3" s="3" t="str">
        <f>_xlfn.XLOOKUP(_xlfn.CONCAT($A3,"_",D$2),'UFBGA176+25 GPIOs'!$B$1:$B$133,'UFBGA176+25 GPIOs'!$A$1:$A$133,"NONE")</f>
        <v>PE9</v>
      </c>
      <c r="E3" s="3" t="str">
        <f>_xlfn.XLOOKUP(_xlfn.CONCAT($A3,"_",E$2),'UFBGA176+25 GPIOs'!$B$1:$B$133,'UFBGA176+25 GPIOs'!$A$1:$A$133,"NONE")</f>
        <v>PE11</v>
      </c>
      <c r="F3" s="3" t="str">
        <f>_xlfn.XLOOKUP(_xlfn.CONCAT($A3,"_",F$2),'UFBGA176+25 GPIOs'!$B$1:$B$133,'UFBGA176+25 GPIOs'!$A$1:$A$133,"NONE")</f>
        <v>PE13</v>
      </c>
      <c r="G3" s="3" t="str">
        <f>_xlfn.XLOOKUP(_xlfn.CONCAT($A3,"_",G$2),'UFBGA176+25 GPIOs'!$B$1:$B$133,'UFBGA176+25 GPIOs'!$A$1:$A$133,"NONE")</f>
        <v>PE14</v>
      </c>
      <c r="H3" t="str" cm="1">
        <f t="array" ref="H3">_xlfn.LET(
    _xlpm.joined, _xlfn.TEXTJOIN(",", TRUE, D3:G3),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9,11,13,14</v>
      </c>
      <c r="I3" t="str" cm="1">
        <f t="array" ref="I3">IF(
    H3="",
    "",
    _xlfn.TEXTJOIN(
        ",",
        TRUE,
        _xlfn.SORTBY(
            _xlfn._xlws.FILTER(--TRIM(_xlfn.TEXTSPLIT(H3, ",")), ISNUMBER(--TRIM(_xlfn.TEXTSPLIT(H3, ",")))),
            --_xlfn._xlws.FILTER(--TRIM(_xlfn.TEXTSPLIT(H3, ",")), ISNUMBER(--TRIM(_xlfn.TEXTSPLIT(H3, ","))))
        )
    )
)</f>
        <v>9,11,13,14</v>
      </c>
    </row>
    <row r="4" spans="1:9" x14ac:dyDescent="0.25">
      <c r="A4" t="s">
        <v>2</v>
      </c>
      <c r="B4" t="s">
        <v>430</v>
      </c>
      <c r="C4" t="s">
        <v>455</v>
      </c>
      <c r="D4" s="3" t="str">
        <f>_xlfn.XLOOKUP(_xlfn.CONCAT($A4,"_",D$2),'UFBGA176+25 GPIOs'!$B$1:$B$133,'UFBGA176+25 GPIOs'!$A$1:$A$133,"NONE")</f>
        <v>PA0</v>
      </c>
      <c r="E4" s="3" t="str">
        <f>_xlfn.XLOOKUP(_xlfn.CONCAT($A4,"_",E$2),'UFBGA176+25 GPIOs'!$B$1:$B$133,'UFBGA176+25 GPIOs'!$A$1:$A$133,"NONE")</f>
        <v>PB3(JTDO/TRACESWO)</v>
      </c>
      <c r="F4" s="3" t="str">
        <f>_xlfn.XLOOKUP(_xlfn.CONCAT($A4,"_",F$2),'UFBGA176+25 GPIOs'!$B$1:$B$133,'UFBGA176+25 GPIOs'!$A$1:$A$133,"NONE")</f>
        <v>PB10</v>
      </c>
      <c r="G4" s="3" t="str">
        <f>_xlfn.XLOOKUP(_xlfn.CONCAT($A4,"_",G$2),'UFBGA176+25 GPIOs'!$B$1:$B$133,'UFBGA176+25 GPIOs'!$A$1:$A$133,"NONE")</f>
        <v>PB11</v>
      </c>
      <c r="H4" t="str" cm="1">
        <f t="array" ref="H4">_xlfn.LET(
    _xlpm.joined, _xlfn.TEXTJOIN(",", TRUE, D4:G4),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0,3,10,11</v>
      </c>
      <c r="I4" t="str" cm="1">
        <f t="array" ref="I4">IF(
    H4="",
    "",
    _xlfn.TEXTJOIN(
        ",",
        TRUE,
        _xlfn.SORTBY(
            _xlfn._xlws.FILTER(--TRIM(_xlfn.TEXTSPLIT(H4, ",")), ISNUMBER(--TRIM(_xlfn.TEXTSPLIT(H4, ",")))),
            --_xlfn._xlws.FILTER(--TRIM(_xlfn.TEXTSPLIT(H4, ",")), ISNUMBER(--TRIM(_xlfn.TEXTSPLIT(H4, ","))))
        )
    )
)</f>
        <v>0,3,10,11</v>
      </c>
    </row>
    <row r="5" spans="1:9" x14ac:dyDescent="0.25">
      <c r="A5" t="s">
        <v>3</v>
      </c>
      <c r="B5" t="s">
        <v>431</v>
      </c>
      <c r="C5" t="s">
        <v>461</v>
      </c>
      <c r="D5" s="3" t="str">
        <f>_xlfn.XLOOKUP(_xlfn.CONCAT($A5,"_",D$2),'UFBGA176+25 GPIOs'!$B$1:$B$133,'UFBGA176+25 GPIOs'!$A$1:$A$133,"NONE")</f>
        <v>PB4(NJTRST)</v>
      </c>
      <c r="E5" s="3" t="str">
        <f>_xlfn.XLOOKUP(_xlfn.CONCAT($A5,"_",E$2),'UFBGA176+25 GPIOs'!$B$1:$B$133,'UFBGA176+25 GPIOs'!$A$1:$A$133,"NONE")</f>
        <v>PB5</v>
      </c>
      <c r="F5" s="3" t="str">
        <f>_xlfn.XLOOKUP(_xlfn.CONCAT($A5,"_",F$2),'UFBGA176+25 GPIOs'!$B$1:$B$133,'UFBGA176+25 GPIOs'!$A$1:$A$133,"NONE")</f>
        <v>PB0</v>
      </c>
      <c r="G5" s="3" t="str">
        <f>_xlfn.XLOOKUP(_xlfn.CONCAT($A5,"_",G$2),'UFBGA176+25 GPIOs'!$B$1:$B$133,'UFBGA176+25 GPIOs'!$A$1:$A$133,"NONE")</f>
        <v>PB1</v>
      </c>
      <c r="H5" t="str" cm="1">
        <f t="array" ref="H5">_xlfn.LET(
    _xlpm.joined, _xlfn.TEXTJOIN(",", TRUE, D5:G5),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4,5,0,1</v>
      </c>
      <c r="I5" t="str" cm="1">
        <f t="array" ref="I5">IF(
    H5="",
    "",
    _xlfn.TEXTJOIN(
        ",",
        TRUE,
        _xlfn.SORTBY(
            _xlfn._xlws.FILTER(--TRIM(_xlfn.TEXTSPLIT(H5, ",")), ISNUMBER(--TRIM(_xlfn.TEXTSPLIT(H5, ",")))),
            --_xlfn._xlws.FILTER(--TRIM(_xlfn.TEXTSPLIT(H5, ",")), ISNUMBER(--TRIM(_xlfn.TEXTSPLIT(H5, ","))))
        )
    )
)</f>
        <v>0,1,4,5</v>
      </c>
    </row>
    <row r="6" spans="1:9" x14ac:dyDescent="0.25">
      <c r="A6" t="s">
        <v>4</v>
      </c>
      <c r="B6" t="s">
        <v>431</v>
      </c>
      <c r="C6" t="s">
        <v>462</v>
      </c>
      <c r="D6" s="3" t="str">
        <f>_xlfn.XLOOKUP(_xlfn.CONCAT($A6,"_",D$2),'UFBGA176+25 GPIOs'!$B$1:$B$133,'UFBGA176+25 GPIOs'!$A$1:$A$133,"NONE")</f>
        <v>PB6</v>
      </c>
      <c r="E6" s="3" t="str">
        <f>_xlfn.XLOOKUP(_xlfn.CONCAT($A6,"_",E$2),'UFBGA176+25 GPIOs'!$B$1:$B$133,'UFBGA176+25 GPIOs'!$A$1:$A$133,"NONE")</f>
        <v>PD13</v>
      </c>
      <c r="F6" s="3" t="str">
        <f>_xlfn.XLOOKUP(_xlfn.CONCAT($A6,"_",F$2),'UFBGA176+25 GPIOs'!$B$1:$B$133,'UFBGA176+25 GPIOs'!$A$1:$A$133,"NONE")</f>
        <v>PD14</v>
      </c>
      <c r="G6" s="3" t="str">
        <f>_xlfn.XLOOKUP(_xlfn.CONCAT($A6,"_",G$2),'UFBGA176+25 GPIOs'!$B$1:$B$133,'UFBGA176+25 GPIOs'!$A$1:$A$133,"NONE")</f>
        <v>PD15</v>
      </c>
      <c r="H6" t="str" cm="1">
        <f t="array" ref="H6">_xlfn.LET(
    _xlpm.joined, _xlfn.TEXTJOIN(",", TRUE, D6:G6),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6,13,14,15</v>
      </c>
      <c r="I6" t="str" cm="1">
        <f t="array" ref="I6">IF(
    H6="",
    "",
    _xlfn.TEXTJOIN(
        ",",
        TRUE,
        _xlfn.SORTBY(
            _xlfn._xlws.FILTER(--TRIM(_xlfn.TEXTSPLIT(H6, ",")), ISNUMBER(--TRIM(_xlfn.TEXTSPLIT(H6, ",")))),
            --_xlfn._xlws.FILTER(--TRIM(_xlfn.TEXTSPLIT(H6, ",")), ISNUMBER(--TRIM(_xlfn.TEXTSPLIT(H6, ","))))
        )
    )
)</f>
        <v>6,13,14,15</v>
      </c>
    </row>
    <row r="7" spans="1:9" x14ac:dyDescent="0.25">
      <c r="A7" t="s">
        <v>13</v>
      </c>
      <c r="B7" t="s">
        <v>430</v>
      </c>
      <c r="C7" t="s">
        <v>455</v>
      </c>
      <c r="D7" s="3" t="str">
        <f>_xlfn.XLOOKUP(_xlfn.CONCAT($A7,"_",D$2),'UFBGA176+25 GPIOs'!$B$1:$B$133,'UFBGA176+25 GPIOs'!$A$1:$A$133,"NONE")</f>
        <v>PH10</v>
      </c>
      <c r="E7" s="3" t="str">
        <f>_xlfn.XLOOKUP(_xlfn.CONCAT($A7,"_",E$2),'UFBGA176+25 GPIOs'!$B$1:$B$133,'UFBGA176+25 GPIOs'!$A$1:$A$133,"NONE")</f>
        <v>PH11</v>
      </c>
      <c r="F7" s="3" t="str">
        <f>_xlfn.XLOOKUP(_xlfn.CONCAT($A7,"_",F$2),'UFBGA176+25 GPIOs'!$B$1:$B$133,'UFBGA176+25 GPIOs'!$A$1:$A$133,"NONE")</f>
        <v>PH12</v>
      </c>
      <c r="G7" s="3" t="str">
        <f>_xlfn.XLOOKUP(_xlfn.CONCAT($A7,"_",G$2),'UFBGA176+25 GPIOs'!$B$1:$B$133,'UFBGA176+25 GPIOs'!$A$1:$A$133,"NONE")</f>
        <v>PA3</v>
      </c>
      <c r="H7" t="str" cm="1">
        <f t="array" ref="H7">_xlfn.LET(
    _xlpm.joined, _xlfn.TEXTJOIN(",", TRUE, D7:G7),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10,11,12,3</v>
      </c>
      <c r="I7" t="str" cm="1">
        <f t="array" ref="I7">IF(
    H7="",
    "",
    _xlfn.TEXTJOIN(
        ",",
        TRUE,
        _xlfn.SORTBY(
            _xlfn._xlws.FILTER(--TRIM(_xlfn.TEXTSPLIT(H7, ",")), ISNUMBER(--TRIM(_xlfn.TEXTSPLIT(H7, ",")))),
            --_xlfn._xlws.FILTER(--TRIM(_xlfn.TEXTSPLIT(H7, ",")), ISNUMBER(--TRIM(_xlfn.TEXTSPLIT(H7, ","))))
        )
    )
)</f>
        <v>3,10,11,12</v>
      </c>
    </row>
    <row r="8" spans="1:9" x14ac:dyDescent="0.25">
      <c r="A8" t="s">
        <v>139</v>
      </c>
      <c r="B8" t="s">
        <v>140</v>
      </c>
      <c r="C8" t="s">
        <v>143</v>
      </c>
      <c r="D8" s="3" t="str">
        <f>_xlfn.XLOOKUP("DAC1_OUT1",'UFBGA176+25 GPIOs'!$B$1:$B$133,'UFBGA176+25 GPIOs'!$A$1:$A$133)</f>
        <v>PA4</v>
      </c>
      <c r="H8" t="str" cm="1">
        <f t="array" ref="H8">_xlfn.LET(
    _xlpm.joined, _xlfn.TEXTJOIN(",", TRUE, D8:G8),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4</v>
      </c>
      <c r="I8" t="str" cm="1">
        <f t="array" ref="I8">IF(
    H8="",
    "",
    _xlfn.TEXTJOIN(
        ",",
        TRUE,
        _xlfn.SORTBY(
            _xlfn._xlws.FILTER(--TRIM(_xlfn.TEXTSPLIT(H8, ",")), ISNUMBER(--TRIM(_xlfn.TEXTSPLIT(H8, ",")))),
            --_xlfn._xlws.FILTER(--TRIM(_xlfn.TEXTSPLIT(H8, ",")), ISNUMBER(--TRIM(_xlfn.TEXTSPLIT(H8, ","))))
        )
    )
)</f>
        <v>4</v>
      </c>
    </row>
    <row r="9" spans="1:9" x14ac:dyDescent="0.25">
      <c r="A9" t="s">
        <v>141</v>
      </c>
      <c r="B9" t="s">
        <v>140</v>
      </c>
      <c r="C9" t="s">
        <v>143</v>
      </c>
      <c r="D9" s="3" t="str">
        <f>_xlfn.XLOOKUP("DAC1_OUT2",'UFBGA176+25 GPIOs'!$B$1:$B$133,'UFBGA176+25 GPIOs'!$A$1:$A$133)</f>
        <v>PA5</v>
      </c>
      <c r="H9" t="str" cm="1">
        <f t="array" ref="H9">_xlfn.LET(
    _xlpm.joined, _xlfn.TEXTJOIN(",", TRUE, D9:G9),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5</v>
      </c>
      <c r="I9" t="str" cm="1">
        <f t="array" ref="I9">IF(
    H9="",
    "",
    _xlfn.TEXTJOIN(
        ",",
        TRUE,
        _xlfn.SORTBY(
            _xlfn._xlws.FILTER(--TRIM(_xlfn.TEXTSPLIT(H9, ",")), ISNUMBER(--TRIM(_xlfn.TEXTSPLIT(H9, ",")))),
            --_xlfn._xlws.FILTER(--TRIM(_xlfn.TEXTSPLIT(H9, ",")), ISNUMBER(--TRIM(_xlfn.TEXTSPLIT(H9, ","))))
        )
    )
)</f>
        <v>5</v>
      </c>
    </row>
    <row r="10" spans="1:9" x14ac:dyDescent="0.25">
      <c r="A10" t="s">
        <v>5</v>
      </c>
      <c r="B10" t="s">
        <v>429</v>
      </c>
      <c r="C10" t="s">
        <v>463</v>
      </c>
      <c r="D10" s="3" t="str">
        <f>_xlfn.XLOOKUP(_xlfn.CONCAT($A10,"_",D$2),'UFBGA176+25 GPIOs'!$B$1:$B$133,'UFBGA176+25 GPIOs'!$A$1:$A$133,"NONE")</f>
        <v>PC6</v>
      </c>
      <c r="E10" s="3" t="str">
        <f>_xlfn.XLOOKUP(_xlfn.CONCAT($A10,"_",E$2),'UFBGA176+25 GPIOs'!$B$1:$B$133,'UFBGA176+25 GPIOs'!$A$1:$A$133,"NONE")</f>
        <v>PC7</v>
      </c>
      <c r="F10" s="3" t="str">
        <f>_xlfn.XLOOKUP(_xlfn.CONCAT($A10,"_",F$2),'UFBGA176+25 GPIOs'!$B$1:$B$133,'UFBGA176+25 GPIOs'!$A$1:$A$133,"NONE")</f>
        <v>PC8</v>
      </c>
      <c r="G10" s="3" t="str">
        <f>_xlfn.XLOOKUP(_xlfn.CONCAT($A10,"_",G$2),'UFBGA176+25 GPIOs'!$B$1:$B$133,'UFBGA176+25 GPIOs'!$A$1:$A$133,"NONE")</f>
        <v>PC9</v>
      </c>
      <c r="H10" t="str" cm="1">
        <f t="array" ref="H10">_xlfn.LET(
    _xlpm.joined, _xlfn.TEXTJOIN(",", TRUE, D10:G10),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6,7,8,9</v>
      </c>
      <c r="I10" t="str" cm="1">
        <f t="array" ref="I10">IF(
    H10="",
    "",
    _xlfn.TEXTJOIN(
        ",",
        TRUE,
        _xlfn.SORTBY(
            _xlfn._xlws.FILTER(--TRIM(_xlfn.TEXTSPLIT(H10, ",")), ISNUMBER(--TRIM(_xlfn.TEXTSPLIT(H10, ",")))),
            --_xlfn._xlws.FILTER(--TRIM(_xlfn.TEXTSPLIT(H10, ",")), ISNUMBER(--TRIM(_xlfn.TEXTSPLIT(H10, ","))))
        )
    )
)</f>
        <v>6,7,8,9</v>
      </c>
    </row>
    <row r="11" spans="1:9" x14ac:dyDescent="0.25">
      <c r="A11" t="s">
        <v>131</v>
      </c>
      <c r="B11" t="s">
        <v>132</v>
      </c>
      <c r="C11" t="s">
        <v>130</v>
      </c>
      <c r="D11" s="3" t="str">
        <f>_xlfn.XLOOKUP(_xlfn.CONCAT($A11,"_",D$2),'UFBGA176+25 GPIOs'!$B$1:$B$133,'UFBGA176+25 GPIOs'!$A$1:$A$133,"NONE")</f>
        <v>NONE</v>
      </c>
      <c r="E11" s="3" t="str">
        <f>_xlfn.XLOOKUP(_xlfn.CONCAT($A11,"_",E$2),'UFBGA176+25 GPIOs'!$B$1:$B$133,'UFBGA176+25 GPIOs'!$A$1:$A$133,"NONE")</f>
        <v>NONE</v>
      </c>
      <c r="F11" s="3" t="str">
        <f>_xlfn.XLOOKUP(_xlfn.CONCAT($A11,"_",F$2),'UFBGA176+25 GPIOs'!$B$1:$B$133,'UFBGA176+25 GPIOs'!$A$1:$A$133,"NONE")</f>
        <v>NONE</v>
      </c>
      <c r="G11" s="3" t="str">
        <f>_xlfn.XLOOKUP(_xlfn.CONCAT($A11,"_",G$2),'UFBGA176+25 GPIOs'!$B$1:$B$133,'UFBGA176+25 GPIOs'!$A$1:$A$133,"NONE")</f>
        <v>NONE</v>
      </c>
      <c r="H11" t="str" cm="1">
        <f t="array" ref="H11">_xlfn.LET(
    _xlpm.joined, _xlfn.TEXTJOIN(",", TRUE, D11:G11),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11" t="str" cm="1">
        <f t="array" ref="I11">IF(
    H11="",
    "",
    _xlfn.TEXTJOIN(
        ",",
        TRUE,
        _xlfn.SORTBY(
            _xlfn._xlws.FILTER(--TRIM(_xlfn.TEXTSPLIT(H11, ",")), ISNUMBER(--TRIM(_xlfn.TEXTSPLIT(H11, ",")))),
            --_xlfn._xlws.FILTER(--TRIM(_xlfn.TEXTSPLIT(H11, ",")), ISNUMBER(--TRIM(_xlfn.TEXTSPLIT(H11, ","))))
        )
    )
)</f>
        <v/>
      </c>
    </row>
    <row r="12" spans="1:9" x14ac:dyDescent="0.25">
      <c r="A12" t="s">
        <v>23</v>
      </c>
      <c r="B12" t="s">
        <v>134</v>
      </c>
      <c r="C12" t="s">
        <v>453</v>
      </c>
      <c r="D12" s="3" t="str">
        <f>_xlfn.XLOOKUP(_xlfn.CONCAT($A12,"_",D$2),'UFBGA176+25 GPIOs'!$B$1:$B$133,'UFBGA176+25 GPIOs'!$A$1:$A$133,"NONE")</f>
        <v>PA6</v>
      </c>
      <c r="E12" s="3" t="str">
        <f>_xlfn.XLOOKUP(_xlfn.CONCAT($A12,"_",E$2),'UFBGA176+25 GPIOs'!$B$1:$B$133,'UFBGA176+25 GPIOs'!$A$1:$A$133,"NONE")</f>
        <v>NONE</v>
      </c>
      <c r="F12" s="3" t="str">
        <f>_xlfn.XLOOKUP(_xlfn.CONCAT($A12,"_",F$2),'UFBGA176+25 GPIOs'!$B$1:$B$133,'UFBGA176+25 GPIOs'!$A$1:$A$133,"NONE")</f>
        <v>NONE</v>
      </c>
      <c r="G12" s="3" t="str">
        <f>_xlfn.XLOOKUP(_xlfn.CONCAT($A12,"_",G$2),'UFBGA176+25 GPIOs'!$B$1:$B$133,'UFBGA176+25 GPIOs'!$A$1:$A$133,"NONE")</f>
        <v>NONE</v>
      </c>
      <c r="H12" t="str" cm="1">
        <f t="array" ref="H12">_xlfn.LET(
    _xlpm.joined, _xlfn.TEXTJOIN(",", TRUE, D12:G12),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</v>
      </c>
      <c r="I12" t="str" cm="1">
        <f t="array" ref="I12">IF(
    H12="",
    "",
    _xlfn.TEXTJOIN(
        ",",
        TRUE,
        _xlfn.SORTBY(
            _xlfn._xlws.FILTER(--TRIM(_xlfn.TEXTSPLIT(H12, ",")), ISNUMBER(--TRIM(_xlfn.TEXTSPLIT(H12, ",")))),
            --_xlfn._xlws.FILTER(--TRIM(_xlfn.TEXTSPLIT(H12, ",")), ISNUMBER(--TRIM(_xlfn.TEXTSPLIT(H12, ","))))
        )
    )
)</f>
        <v>6</v>
      </c>
    </row>
    <row r="13" spans="1:9" x14ac:dyDescent="0.25">
      <c r="A13" t="s">
        <v>24</v>
      </c>
      <c r="B13" t="s">
        <v>134</v>
      </c>
      <c r="C13" t="s">
        <v>454</v>
      </c>
      <c r="D13" s="3" t="str">
        <f>_xlfn.XLOOKUP(_xlfn.CONCAT($A13,"_",D$2),'UFBGA176+25 GPIOs'!$B$1:$B$133,'UFBGA176+25 GPIOs'!$A$1:$A$133,"NONE")</f>
        <v>NONE</v>
      </c>
      <c r="E13" s="3" t="str">
        <f>_xlfn.XLOOKUP(_xlfn.CONCAT($A13,"_",E$2),'UFBGA176+25 GPIOs'!$B$1:$B$133,'UFBGA176+25 GPIOs'!$A$1:$A$133,"NONE")</f>
        <v>NONE</v>
      </c>
      <c r="F13" s="3" t="str">
        <f>_xlfn.XLOOKUP(_xlfn.CONCAT($A13,"_",F$2),'UFBGA176+25 GPIOs'!$B$1:$B$133,'UFBGA176+25 GPIOs'!$A$1:$A$133,"NONE")</f>
        <v>NONE</v>
      </c>
      <c r="G13" s="3" t="str">
        <f>_xlfn.XLOOKUP(_xlfn.CONCAT($A13,"_",G$2),'UFBGA176+25 GPIOs'!$B$1:$B$133,'UFBGA176+25 GPIOs'!$A$1:$A$133,"NONE")</f>
        <v>NONE</v>
      </c>
      <c r="H13" t="str" cm="1">
        <f t="array" ref="H13">_xlfn.LET(
    _xlpm.joined, _xlfn.TEXTJOIN(",", TRUE, D13:G13),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13" t="str" cm="1">
        <f t="array" ref="I13">IF(
    H13="",
    "",
    _xlfn.TEXTJOIN(
        ",",
        TRUE,
        _xlfn.SORTBY(
            _xlfn._xlws.FILTER(--TRIM(_xlfn.TEXTSPLIT(H13, ",")), ISNUMBER(--TRIM(_xlfn.TEXTSPLIT(H13, ",")))),
            --_xlfn._xlws.FILTER(--TRIM(_xlfn.TEXTSPLIT(H13, ",")), ISNUMBER(--TRIM(_xlfn.TEXTSPLIT(H13, ","))))
        )
    )
)</f>
        <v/>
      </c>
    </row>
    <row r="14" spans="1:9" x14ac:dyDescent="0.25">
      <c r="A14" t="s">
        <v>31</v>
      </c>
      <c r="B14" t="s">
        <v>426</v>
      </c>
      <c r="C14" t="s">
        <v>503</v>
      </c>
      <c r="D14" s="3" t="str">
        <f>_xlfn.XLOOKUP(_xlfn.CONCAT($A14,"_",D$2),'UFBGA176+25 GPIOs'!$B$1:$B$133,'UFBGA176+25 GPIOs'!$A$1:$A$133,"NONE")</f>
        <v>NONE</v>
      </c>
      <c r="E14" s="3" t="str">
        <f>_xlfn.XLOOKUP(_xlfn.CONCAT($A14,"_",E$2),'UFBGA176+25 GPIOs'!$B$1:$B$133,'UFBGA176+25 GPIOs'!$A$1:$A$133,"NONE")</f>
        <v>NONE</v>
      </c>
      <c r="F14" s="3" t="str">
        <f>_xlfn.XLOOKUP(_xlfn.CONCAT($A14,"_",F$2),'UFBGA176+25 GPIOs'!$B$1:$B$133,'UFBGA176+25 GPIOs'!$A$1:$A$133,"NONE")</f>
        <v>NONE</v>
      </c>
      <c r="G14" s="3" t="str">
        <f>_xlfn.XLOOKUP(_xlfn.CONCAT($A14,"_",G$2),'UFBGA176+25 GPIOs'!$B$1:$B$133,'UFBGA176+25 GPIOs'!$A$1:$A$133,"NONE")</f>
        <v>NONE</v>
      </c>
      <c r="H14" t="str" cm="1">
        <f t="array" ref="H14">_xlfn.LET(
    _xlpm.joined, _xlfn.TEXTJOIN(",", TRUE, D14:G14),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14" t="str" cm="1">
        <f t="array" ref="I14">IF(
    H14="",
    "",
    _xlfn.TEXTJOIN(
        ",",
        TRUE,
        _xlfn.SORTBY(
            _xlfn._xlws.FILTER(--TRIM(_xlfn.TEXTSPLIT(H14, ",")), ISNUMBER(--TRIM(_xlfn.TEXTSPLIT(H14, ",")))),
            --_xlfn._xlws.FILTER(--TRIM(_xlfn.TEXTSPLIT(H14, ",")), ISNUMBER(--TRIM(_xlfn.TEXTSPLIT(H14, ","))))
        )
    )
)</f>
        <v/>
      </c>
    </row>
    <row r="15" spans="1:9" x14ac:dyDescent="0.25">
      <c r="A15" t="s">
        <v>136</v>
      </c>
      <c r="B15" t="s">
        <v>159</v>
      </c>
      <c r="C15" t="s">
        <v>129</v>
      </c>
      <c r="D15" s="3" t="str">
        <f>_xlfn.XLOOKUP(_xlfn.CONCAT($A15,"_",D$2),'UFBGA176+25 GPIOs'!$B$1:$B$133,'UFBGA176+25 GPIOs'!$A$1:$A$133,"NONE")</f>
        <v>NONE</v>
      </c>
      <c r="E15" s="3" t="str">
        <f>_xlfn.XLOOKUP(_xlfn.CONCAT($A15,"_",E$2),'UFBGA176+25 GPIOs'!$B$1:$B$133,'UFBGA176+25 GPIOs'!$A$1:$A$133,"NONE")</f>
        <v>NONE</v>
      </c>
      <c r="F15" s="3" t="str">
        <f>_xlfn.XLOOKUP(_xlfn.CONCAT($A15,"_",F$2),'UFBGA176+25 GPIOs'!$B$1:$B$133,'UFBGA176+25 GPIOs'!$A$1:$A$133,"NONE")</f>
        <v>NONE</v>
      </c>
      <c r="G15" s="3" t="str">
        <f>_xlfn.XLOOKUP(_xlfn.CONCAT($A15,"_",G$2),'UFBGA176+25 GPIOs'!$B$1:$B$133,'UFBGA176+25 GPIOs'!$A$1:$A$133,"NONE")</f>
        <v>NONE</v>
      </c>
      <c r="H15" t="str" cm="1">
        <f t="array" ref="H15">_xlfn.LET(
    _xlpm.joined, _xlfn.TEXTJOIN(",", TRUE, D15:G15),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15" t="str" cm="1">
        <f t="array" ref="I15">IF(
    H15="",
    "",
    _xlfn.TEXTJOIN(
        ",",
        TRUE,
        _xlfn.SORTBY(
            _xlfn._xlws.FILTER(--TRIM(_xlfn.TEXTSPLIT(H15, ",")), ISNUMBER(--TRIM(_xlfn.TEXTSPLIT(H15, ",")))),
            --_xlfn._xlws.FILTER(--TRIM(_xlfn.TEXTSPLIT(H15, ",")), ISNUMBER(--TRIM(_xlfn.TEXTSPLIT(H15, ","))))
        )
    )
)</f>
        <v/>
      </c>
    </row>
    <row r="16" spans="1:9" x14ac:dyDescent="0.25">
      <c r="A16" t="s">
        <v>137</v>
      </c>
      <c r="B16" t="s">
        <v>159</v>
      </c>
      <c r="C16" t="s">
        <v>452</v>
      </c>
      <c r="D16" s="3" t="str">
        <f>_xlfn.XLOOKUP(_xlfn.CONCAT($A16,"_",D$2),'UFBGA176+25 GPIOs'!$B$1:$B$133,'UFBGA176+25 GPIOs'!$A$1:$A$133,"NONE")</f>
        <v>PB9</v>
      </c>
      <c r="E16" s="3" t="str">
        <f>_xlfn.XLOOKUP(_xlfn.CONCAT($A16,"_",E$2),'UFBGA176+25 GPIOs'!$B$1:$B$133,'UFBGA176+25 GPIOs'!$A$1:$A$133,"NONE")</f>
        <v>NONE</v>
      </c>
      <c r="F16" s="3" t="str">
        <f>_xlfn.XLOOKUP(_xlfn.CONCAT($A16,"_",F$2),'UFBGA176+25 GPIOs'!$B$1:$B$133,'UFBGA176+25 GPIOs'!$A$1:$A$133,"NONE")</f>
        <v>NONE</v>
      </c>
      <c r="G16" s="3" t="str">
        <f>_xlfn.XLOOKUP(_xlfn.CONCAT($A16,"_",G$2),'UFBGA176+25 GPIOs'!$B$1:$B$133,'UFBGA176+25 GPIOs'!$A$1:$A$133,"NONE")</f>
        <v>NONE</v>
      </c>
      <c r="H16" t="str" cm="1">
        <f t="array" ref="H16">_xlfn.LET(
    _xlpm.joined, _xlfn.TEXTJOIN(",", TRUE, D16:G16),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9</v>
      </c>
      <c r="I16" t="str" cm="1">
        <f t="array" ref="I16">IF(
    H16="",
    "",
    _xlfn.TEXTJOIN(
        ",",
        TRUE,
        _xlfn.SORTBY(
            _xlfn._xlws.FILTER(--TRIM(_xlfn.TEXTSPLIT(H16, ",")), ISNUMBER(--TRIM(_xlfn.TEXTSPLIT(H16, ",")))),
            --_xlfn._xlws.FILTER(--TRIM(_xlfn.TEXTSPLIT(H16, ",")), ISNUMBER(--TRIM(_xlfn.TEXTSPLIT(H16, ","))))
        )
    )
)</f>
        <v>9</v>
      </c>
    </row>
    <row r="17" spans="1:10" x14ac:dyDescent="0.25">
      <c r="A17" t="s">
        <v>14</v>
      </c>
      <c r="B17" t="s">
        <v>430</v>
      </c>
      <c r="C17" t="s">
        <v>455</v>
      </c>
      <c r="D17" s="3" t="str">
        <f>_xlfn.XLOOKUP(_xlfn.CONCAT($A17,"_",D$2),'UFBGA176+25 GPIOs'!$B$1:$B$133,'UFBGA176+25 GPIOs'!$A$1:$A$133,"NONE")</f>
        <v>PF0</v>
      </c>
      <c r="E17" s="3" t="str">
        <f>_xlfn.XLOOKUP(_xlfn.CONCAT($A17,"_",E$2),'UFBGA176+25 GPIOs'!$B$1:$B$133,'UFBGA176+25 GPIOs'!$A$1:$A$133,"NONE")</f>
        <v>PF1</v>
      </c>
      <c r="F17" s="3" t="str">
        <f>_xlfn.XLOOKUP(_xlfn.CONCAT($A17,"_",F$2),'UFBGA176+25 GPIOs'!$B$1:$B$133,'UFBGA176+25 GPIOs'!$A$1:$A$133,"NONE")</f>
        <v>PF2</v>
      </c>
      <c r="G17" s="3" t="str">
        <f>_xlfn.XLOOKUP(_xlfn.CONCAT($A17,"_",G$2),'UFBGA176+25 GPIOs'!$B$1:$B$133,'UFBGA176+25 GPIOs'!$A$1:$A$133,"NONE")</f>
        <v>PF3</v>
      </c>
      <c r="H17" t="str" cm="1">
        <f t="array" ref="H17">_xlfn.LET(
    _xlpm.joined, _xlfn.TEXTJOIN(",", TRUE, D17:G17),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0,1,2,3</v>
      </c>
      <c r="I17" t="str" cm="1">
        <f t="array" ref="I17">IF(
    H17="",
    "",
    _xlfn.TEXTJOIN(
        ",",
        TRUE,
        _xlfn.SORTBY(
            _xlfn._xlws.FILTER(--TRIM(_xlfn.TEXTSPLIT(H17, ",")), ISNUMBER(--TRIM(_xlfn.TEXTSPLIT(H17, ",")))),
            --_xlfn._xlws.FILTER(--TRIM(_xlfn.TEXTSPLIT(H17, ",")), ISNUMBER(--TRIM(_xlfn.TEXTSPLIT(H17, ","))))
        )
    )
)</f>
        <v>0,1,2,3</v>
      </c>
    </row>
    <row r="18" spans="1:10" x14ac:dyDescent="0.25">
      <c r="A18" t="s">
        <v>15</v>
      </c>
      <c r="B18" t="s">
        <v>430</v>
      </c>
      <c r="C18" t="s">
        <v>455</v>
      </c>
      <c r="D18" s="3" t="str">
        <f>_xlfn.XLOOKUP(_xlfn.CONCAT($A18,"_",D$2),'UFBGA176+25 GPIOs'!$B$1:$B$133,'UFBGA176+25 GPIOs'!$A$1:$A$133,"NONE")</f>
        <v>PF11</v>
      </c>
      <c r="E18" s="3" t="str">
        <f>_xlfn.XLOOKUP(_xlfn.CONCAT($A18,"_",E$2),'UFBGA176+25 GPIOs'!$B$1:$B$133,'UFBGA176+25 GPIOs'!$A$1:$A$133,"NONE")</f>
        <v>PF12</v>
      </c>
      <c r="F18" s="3" t="str">
        <f>_xlfn.XLOOKUP(_xlfn.CONCAT($A18,"_",F$2),'UFBGA176+25 GPIOs'!$B$1:$B$133,'UFBGA176+25 GPIOs'!$A$1:$A$133,"NONE")</f>
        <v>PF13</v>
      </c>
      <c r="G18" s="3" t="str">
        <f>_xlfn.XLOOKUP(_xlfn.CONCAT($A18,"_",G$2),'UFBGA176+25 GPIOs'!$B$1:$B$133,'UFBGA176+25 GPIOs'!$A$1:$A$133,"NONE")</f>
        <v>PF14</v>
      </c>
      <c r="H18" t="str" cm="1">
        <f t="array" ref="H18">_xlfn.LET(
    _xlpm.joined, _xlfn.TEXTJOIN(",", TRUE, D18:G18),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11,12,13,14</v>
      </c>
      <c r="I18" t="str" cm="1">
        <f t="array" ref="I18">IF(
    H18="",
    "",
    _xlfn.TEXTJOIN(
        ",",
        TRUE,
        _xlfn.SORTBY(
            _xlfn._xlws.FILTER(--TRIM(_xlfn.TEXTSPLIT(H18, ",")), ISNUMBER(--TRIM(_xlfn.TEXTSPLIT(H18, ",")))),
            --_xlfn._xlws.FILTER(--TRIM(_xlfn.TEXTSPLIT(H18, ",")), ISNUMBER(--TRIM(_xlfn.TEXTSPLIT(H18, ","))))
        )
    )
)</f>
        <v>11,12,13,14</v>
      </c>
    </row>
    <row r="19" spans="1:10" x14ac:dyDescent="0.25">
      <c r="D19" s="3"/>
      <c r="E19" s="3"/>
      <c r="F19" s="3"/>
      <c r="G19" s="3"/>
    </row>
    <row r="20" spans="1:10" x14ac:dyDescent="0.25">
      <c r="A20" t="s">
        <v>150</v>
      </c>
      <c r="B20" t="s">
        <v>151</v>
      </c>
      <c r="D20" t="s">
        <v>60</v>
      </c>
      <c r="E20" t="s">
        <v>142</v>
      </c>
      <c r="F20" t="s">
        <v>149</v>
      </c>
    </row>
    <row r="22" spans="1:10" x14ac:dyDescent="0.25">
      <c r="D22" t="s">
        <v>456</v>
      </c>
      <c r="E22" t="s">
        <v>457</v>
      </c>
      <c r="F22" t="s">
        <v>458</v>
      </c>
      <c r="G22" t="s">
        <v>459</v>
      </c>
      <c r="H22" t="str" cm="1">
        <f t="array" ref="H22">_xlfn.LET(
    _xlpm.joined, _xlfn.TEXTJOIN(",", TRUE, D22:G22),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22" t="str" cm="1">
        <f t="array" ref="I22">IF(
    H22="",
    "",
    _xlfn.TEXTJOIN(
        ",",
        TRUE,
        _xlfn.SORTBY(
            _xlfn._xlws.FILTER(--TRIM(_xlfn.TEXTSPLIT(H22, ",")), ISNUMBER(--TRIM(_xlfn.TEXTSPLIT(H22, ",")))),
            --_xlfn._xlws.FILTER(--TRIM(_xlfn.TEXTSPLIT(H22, ",")), ISNUMBER(--TRIM(_xlfn.TEXTSPLIT(H22, ","))))
        )
    )
)</f>
        <v/>
      </c>
    </row>
    <row r="23" spans="1:10" x14ac:dyDescent="0.25">
      <c r="A23" t="s">
        <v>9</v>
      </c>
      <c r="B23" t="s">
        <v>58</v>
      </c>
      <c r="D23" s="3" t="str">
        <f>_xlfn.XLOOKUP(_xlfn.CONCAT($A23,"_",D$22),'UFBGA176+25 GPIOs'!$B$1:$B$133,'UFBGA176+25 GPIOs'!$A$1:$A$133)</f>
        <v>PD3</v>
      </c>
      <c r="E23" s="3" t="str">
        <f>_xlfn.XLOOKUP(_xlfn.CONCAT($A23,"_",E$22),'UFBGA176+25 GPIOs'!$B$1:$B$133,'UFBGA176+25 GPIOs'!$A$1:$A$133)</f>
        <v>PB14</v>
      </c>
      <c r="F23" s="3" t="str">
        <f>_xlfn.XLOOKUP(_xlfn.CONCAT($A23,"_",F$22),'UFBGA176+25 GPIOs'!$B$1:$B$133,'UFBGA176+25 GPIOs'!$A$1:$A$133)</f>
        <v>PB15</v>
      </c>
      <c r="G23" s="3" t="str">
        <f>_xlfn.XLOOKUP(_xlfn.CONCAT($A23,"_",G$22),'UFBGA176+25 GPIOs'!$B$1:$B$133,'UFBGA176+25 GPIOs'!$A$1:$A$133)</f>
        <v>PB12</v>
      </c>
      <c r="H23" t="str" cm="1">
        <f t="array" ref="H23">_xlfn.LET(
    _xlpm.joined, _xlfn.TEXTJOIN(",", TRUE, D23:G23),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3,14,15,12</v>
      </c>
      <c r="I23" t="str" cm="1">
        <f t="array" ref="I23">IF(
    H23="",
    "",
    _xlfn.TEXTJOIN(
        ",",
        TRUE,
        _xlfn.SORTBY(
            _xlfn._xlws.FILTER(--TRIM(_xlfn.TEXTSPLIT(H23, ",")), ISNUMBER(--TRIM(_xlfn.TEXTSPLIT(H23, ",")))),
            --_xlfn._xlws.FILTER(--TRIM(_xlfn.TEXTSPLIT(H23, ",")), ISNUMBER(--TRIM(_xlfn.TEXTSPLIT(H23, ","))))
        )
    )
)</f>
        <v>3,12,14,15</v>
      </c>
    </row>
    <row r="24" spans="1:10" x14ac:dyDescent="0.25">
      <c r="A24" t="s">
        <v>10</v>
      </c>
      <c r="B24" t="s">
        <v>59</v>
      </c>
      <c r="D24" s="3" t="str">
        <f>_xlfn.XLOOKUP(_xlfn.CONCAT($A24,"_",D$22),'UFBGA176+25 GPIOs'!$B$1:$B$133,'UFBGA176+25 GPIOs'!$A$1:$A$133)</f>
        <v>PC10</v>
      </c>
      <c r="E24" s="3" t="str">
        <f>_xlfn.XLOOKUP(_xlfn.CONCAT($A24,"_",E$22),'UFBGA176+25 GPIOs'!$B$1:$B$133,'UFBGA176+25 GPIOs'!$A$1:$A$133)</f>
        <v>PC11</v>
      </c>
      <c r="F24" s="3" t="str">
        <f>_xlfn.XLOOKUP(_xlfn.CONCAT($A24,"_",F$22),'UFBGA176+25 GPIOs'!$B$1:$B$133,'UFBGA176+25 GPIOs'!$A$1:$A$133)</f>
        <v>PC12</v>
      </c>
      <c r="G24" s="3" t="str">
        <f>_xlfn.XLOOKUP(_xlfn.CONCAT($A24,"_",G$22),'UFBGA176+25 GPIOs'!$B$1:$B$133,'UFBGA176+25 GPIOs'!$A$1:$A$133)</f>
        <v>PA15(JTDI)</v>
      </c>
      <c r="H24" t="str" cm="1">
        <f t="array" ref="H24">_xlfn.LET(
    _xlpm.joined, _xlfn.TEXTJOIN(",", TRUE, D24:G24),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10,11,12,15</v>
      </c>
      <c r="I24" t="str" cm="1">
        <f t="array" ref="I24">IF(
    H24="",
    "",
    _xlfn.TEXTJOIN(
        ",",
        TRUE,
        _xlfn.SORTBY(
            _xlfn._xlws.FILTER(--TRIM(_xlfn.TEXTSPLIT(H24, ",")), ISNUMBER(--TRIM(_xlfn.TEXTSPLIT(H24, ",")))),
            --_xlfn._xlws.FILTER(--TRIM(_xlfn.TEXTSPLIT(H24, ",")), ISNUMBER(--TRIM(_xlfn.TEXTSPLIT(H24, ","))))
        )
    )
)</f>
        <v>10,11,12,15</v>
      </c>
    </row>
    <row r="25" spans="1:10" x14ac:dyDescent="0.25">
      <c r="A25" t="s">
        <v>11</v>
      </c>
      <c r="B25" t="s">
        <v>68</v>
      </c>
      <c r="D25" s="3" t="str">
        <f>_xlfn.XLOOKUP(_xlfn.CONCAT($A25,"_",D$22),'UFBGA176+25 GPIOs'!$B$1:$B$133,'UFBGA176+25 GPIOs'!$A$1:$A$133)</f>
        <v>PE12</v>
      </c>
      <c r="E25" s="3" t="str">
        <f>_xlfn.XLOOKUP(_xlfn.CONCAT($A25,"_",E$22),'UFBGA176+25 GPIOs'!$B$1:$B$133,'UFBGA176+25 GPIOs'!$A$1:$A$133)</f>
        <v>PE5</v>
      </c>
      <c r="F25" s="3" t="str">
        <f>_xlfn.XLOOKUP(_xlfn.CONCAT($A25,"_",F$22),'UFBGA176+25 GPIOs'!$B$1:$B$133,'UFBGA176+25 GPIOs'!$A$1:$A$133)</f>
        <v>PE6</v>
      </c>
      <c r="G25" s="3" t="str">
        <f>_xlfn.XLOOKUP(_xlfn.CONCAT($A25,"_",G$22),'UFBGA176+25 GPIOs'!$B$1:$B$133,'UFBGA176+25 GPIOs'!$A$1:$A$133)</f>
        <v>PE4</v>
      </c>
      <c r="H25" t="str" cm="1">
        <f t="array" ref="H25">_xlfn.LET(
    _xlpm.joined, _xlfn.TEXTJOIN(",", TRUE, D25:G25),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12,5,6,4</v>
      </c>
      <c r="I25" t="str" cm="1">
        <f t="array" ref="I25">IF(
    H25="",
    "",
    _xlfn.TEXTJOIN(
        ",",
        TRUE,
        _xlfn.SORTBY(
            _xlfn._xlws.FILTER(--TRIM(_xlfn.TEXTSPLIT(H25, ",")), ISNUMBER(--TRIM(_xlfn.TEXTSPLIT(H25, ",")))),
            --_xlfn._xlws.FILTER(--TRIM(_xlfn.TEXTSPLIT(H25, ",")), ISNUMBER(--TRIM(_xlfn.TEXTSPLIT(H25, ","))))
        )
    )
)</f>
        <v>4,5,6,12</v>
      </c>
    </row>
    <row r="26" spans="1:10" x14ac:dyDescent="0.25">
      <c r="A26" t="s">
        <v>12</v>
      </c>
      <c r="B26" t="s">
        <v>76</v>
      </c>
      <c r="D26" s="3" t="str">
        <f>_xlfn.XLOOKUP(_xlfn.CONCAT($A26,"_",D$22),'UFBGA176+25 GPIOs'!$B$1:$B$133,'UFBGA176+25 GPIOs'!$A$1:$A$133)</f>
        <v>PH6</v>
      </c>
      <c r="E26" s="3" t="str">
        <f>_xlfn.XLOOKUP(_xlfn.CONCAT($A26,"_",E$22),'UFBGA176+25 GPIOs'!$B$1:$B$133,'UFBGA176+25 GPIOs'!$A$1:$A$133)</f>
        <v>PF8</v>
      </c>
      <c r="F26" s="3" t="str">
        <f>_xlfn.XLOOKUP(_xlfn.CONCAT($A26,"_",F$22),'UFBGA176+25 GPIOs'!$B$1:$B$133,'UFBGA176+25 GPIOs'!$A$1:$A$133)</f>
        <v>PF9</v>
      </c>
      <c r="G26" s="3" t="str">
        <f>_xlfn.XLOOKUP(_xlfn.CONCAT($A26,"_",G$22),'UFBGA176+25 GPIOs'!$B$1:$B$133,'UFBGA176+25 GPIOs'!$A$1:$A$133)</f>
        <v>PH5</v>
      </c>
      <c r="H26" t="str" cm="1">
        <f t="array" ref="H26">_xlfn.LET(
    _xlpm.joined, _xlfn.TEXTJOIN(",", TRUE, D26:G26),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6,8,9,5</v>
      </c>
      <c r="I26" t="str" cm="1">
        <f t="array" ref="I26">IF(
    H26="",
    "",
    _xlfn.TEXTJOIN(
        ",",
        TRUE,
        _xlfn.SORTBY(
            _xlfn._xlws.FILTER(--TRIM(_xlfn.TEXTSPLIT(H26, ",")), ISNUMBER(--TRIM(_xlfn.TEXTSPLIT(H26, ",")))),
            --_xlfn._xlws.FILTER(--TRIM(_xlfn.TEXTSPLIT(H26, ",")), ISNUMBER(--TRIM(_xlfn.TEXTSPLIT(H26, ","))))
        )
    )
)</f>
        <v>5,6,8,9</v>
      </c>
    </row>
    <row r="27" spans="1:10" x14ac:dyDescent="0.25">
      <c r="D27" s="3"/>
      <c r="E27" s="3"/>
      <c r="F27" s="3"/>
      <c r="G27" s="3"/>
    </row>
    <row r="28" spans="1:10" x14ac:dyDescent="0.25">
      <c r="A28" t="s">
        <v>502</v>
      </c>
      <c r="D28" t="str" cm="1">
        <f t="array" ref="D28">_xlfn.TEXTJOIN(",", TRUE, _xlfn._xlws.SORT(_xlfn.UNIQUE(MID(_xlfn._xlws.FILTER(_xlfn.TOCOL(D23:G26), LEFT(_xlfn.TOCOL(D23:G26),1)="P"), 2, 1))))</f>
        <v>A,B,C,D,E,F,H</v>
      </c>
      <c r="E28" s="3"/>
      <c r="F28" s="3"/>
      <c r="G28" s="3"/>
    </row>
    <row r="29" spans="1:10" x14ac:dyDescent="0.25">
      <c r="D29" s="3"/>
      <c r="E29" s="3"/>
      <c r="F29" s="3"/>
      <c r="G29" s="3"/>
    </row>
    <row r="30" spans="1:10" x14ac:dyDescent="0.25">
      <c r="D30" t="s">
        <v>412</v>
      </c>
      <c r="E30" t="s">
        <v>413</v>
      </c>
    </row>
    <row r="31" spans="1:10" x14ac:dyDescent="0.25">
      <c r="A31" t="s">
        <v>414</v>
      </c>
      <c r="C31" t="s">
        <v>475</v>
      </c>
      <c r="D31" s="3" t="str">
        <f>_xlfn.XLOOKUP(_xlfn.CONCAT($A31,"_",D$30),'UFBGA176+25 GPIOs'!$B$1:$B$133,'UFBGA176+25 GPIOs'!$A$1:$A$133)</f>
        <v>PB7</v>
      </c>
      <c r="E31" s="3" t="str">
        <f>_xlfn.XLOOKUP(_xlfn.CONCAT($A31,"_",E$30),'UFBGA176+25 GPIOs'!$B$1:$B$133,'UFBGA176+25 GPIOs'!$A$1:$A$133)</f>
        <v>PA9</v>
      </c>
      <c r="H31" t="str" cm="1">
        <f t="array" ref="H31">_xlfn.LET(
    _xlpm.joined, _xlfn.TEXTJOIN(",", TRUE, D31:G31),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7,9</v>
      </c>
      <c r="I31" t="str" cm="1">
        <f t="array" ref="I31">IF(
    H31="",
    "",
    _xlfn.TEXTJOIN(
        ",",
        TRUE,
        _xlfn.SORTBY(
            _xlfn._xlws.FILTER(--TRIM(_xlfn.TEXTSPLIT(H31, ",")), ISNUMBER(--TRIM(_xlfn.TEXTSPLIT(H31, ",")))),
            --_xlfn._xlws.FILTER(--TRIM(_xlfn.TEXTSPLIT(H31, ",")), ISNUMBER(--TRIM(_xlfn.TEXTSPLIT(H31, ","))))
        )
    )
)</f>
        <v>7,9</v>
      </c>
      <c r="J31" t="s">
        <v>144</v>
      </c>
    </row>
    <row r="32" spans="1:10" x14ac:dyDescent="0.25">
      <c r="A32" t="s">
        <v>138</v>
      </c>
      <c r="C32" t="s">
        <v>415</v>
      </c>
      <c r="D32" s="3" t="str">
        <f>_xlfn.XLOOKUP(_xlfn.CONCAT($A32,"_",D$30),'UFBGA176+25 GPIOs'!$B$1:$B$133,'UFBGA176+25 GPIOs'!$A$1:$A$133)</f>
        <v>PD6</v>
      </c>
      <c r="E32" s="3" t="str">
        <f>_xlfn.XLOOKUP(_xlfn.CONCAT($A32,"_",E$30),'UFBGA176+25 GPIOs'!$B$1:$B$133,'UFBGA176+25 GPIOs'!$A$1:$A$133)</f>
        <v>PD5</v>
      </c>
      <c r="H32" t="str" cm="1">
        <f t="array" ref="H32">_xlfn.LET(
    _xlpm.joined, _xlfn.TEXTJOIN(",", TRUE, D32:G32),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6,5</v>
      </c>
      <c r="I32" t="str" cm="1">
        <f t="array" ref="I32">IF(
    H32="",
    "",
    _xlfn.TEXTJOIN(
        ",",
        TRUE,
        _xlfn.SORTBY(
            _xlfn._xlws.FILTER(--TRIM(_xlfn.TEXTSPLIT(H32, ",")), ISNUMBER(--TRIM(_xlfn.TEXTSPLIT(H32, ",")))),
            --_xlfn._xlws.FILTER(--TRIM(_xlfn.TEXTSPLIT(H32, ",")), ISNUMBER(--TRIM(_xlfn.TEXTSPLIT(H32, ","))))
        )
    )
)</f>
        <v>5,6</v>
      </c>
    </row>
    <row r="33" spans="1:9" x14ac:dyDescent="0.25">
      <c r="A33" t="s">
        <v>109</v>
      </c>
      <c r="C33" t="s">
        <v>416</v>
      </c>
      <c r="D33" s="3" t="str">
        <f>_xlfn.XLOOKUP(_xlfn.CONCAT($A33,"_",D$30),'UFBGA176+25 GPIOs'!$B$1:$B$133,'UFBGA176+25 GPIOs'!$A$1:$A$133)</f>
        <v>PD9</v>
      </c>
      <c r="E33" s="3" t="str">
        <f>_xlfn.XLOOKUP(_xlfn.CONCAT($A33,"_",E$30),'UFBGA176+25 GPIOs'!$B$1:$B$133,'UFBGA176+25 GPIOs'!$A$1:$A$133)</f>
        <v>PD8</v>
      </c>
      <c r="H33" t="str" cm="1">
        <f t="array" ref="H33">_xlfn.LET(
    _xlpm.joined, _xlfn.TEXTJOIN(",", TRUE, D33:G33),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9,8</v>
      </c>
      <c r="I33" t="str" cm="1">
        <f t="array" ref="I33">IF(
    H33="",
    "",
    _xlfn.TEXTJOIN(
        ",",
        TRUE,
        _xlfn.SORTBY(
            _xlfn._xlws.FILTER(--TRIM(_xlfn.TEXTSPLIT(H33, ",")), ISNUMBER(--TRIM(_xlfn.TEXTSPLIT(H33, ",")))),
            --_xlfn._xlws.FILTER(--TRIM(_xlfn.TEXTSPLIT(H33, ",")), ISNUMBER(--TRIM(_xlfn.TEXTSPLIT(H33, ","))))
        )
    )
)</f>
        <v>8,9</v>
      </c>
    </row>
    <row r="34" spans="1:9" x14ac:dyDescent="0.25">
      <c r="A34" t="s">
        <v>35</v>
      </c>
      <c r="C34" t="s">
        <v>417</v>
      </c>
      <c r="D34" s="3" t="str">
        <f>_xlfn.XLOOKUP(_xlfn.CONCAT($A34,"_",D$30),'UFBGA176+25 GPIOs'!$B$1:$B$133,'UFBGA176+25 GPIOs'!$A$1:$A$133)</f>
        <v>PH14</v>
      </c>
      <c r="E34" s="3" t="str">
        <f>_xlfn.XLOOKUP(_xlfn.CONCAT($A34,"_",E$30),'UFBGA176+25 GPIOs'!$B$1:$B$133,'UFBGA176+25 GPIOs'!$A$1:$A$133)</f>
        <v>PD1</v>
      </c>
      <c r="H34" t="str" cm="1">
        <f t="array" ref="H34">_xlfn.LET(
    _xlpm.joined, _xlfn.TEXTJOIN(",", TRUE, D34:G34),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14,1</v>
      </c>
      <c r="I34" t="str" cm="1">
        <f t="array" ref="I34">IF(
    H34="",
    "",
    _xlfn.TEXTJOIN(
        ",",
        TRUE,
        _xlfn.SORTBY(
            _xlfn._xlws.FILTER(--TRIM(_xlfn.TEXTSPLIT(H34, ",")), ISNUMBER(--TRIM(_xlfn.TEXTSPLIT(H34, ",")))),
            --_xlfn._xlws.FILTER(--TRIM(_xlfn.TEXTSPLIT(H34, ",")), ISNUMBER(--TRIM(_xlfn.TEXTSPLIT(H34, ","))))
        )
    )
)</f>
        <v>1,14</v>
      </c>
    </row>
    <row r="35" spans="1:9" x14ac:dyDescent="0.25">
      <c r="A35" t="s">
        <v>36</v>
      </c>
      <c r="C35" t="s">
        <v>418</v>
      </c>
      <c r="D35" s="3" t="str">
        <f>_xlfn.XLOOKUP(_xlfn.CONCAT($A35,"_",D$30),'UFBGA176+25 GPIOs'!$B$1:$B$133,'UFBGA176+25 GPIOs'!$A$1:$A$133)</f>
        <v>PD2</v>
      </c>
      <c r="E35" s="3" t="str">
        <f>_xlfn.XLOOKUP(_xlfn.CONCAT($A35,"_",E$30),'UFBGA176+25 GPIOs'!$B$1:$B$133,'UFBGA176+25 GPIOs'!$A$1:$A$133)</f>
        <v>PB13</v>
      </c>
      <c r="H35" t="str" cm="1">
        <f t="array" ref="H35">_xlfn.LET(
    _xlpm.joined, _xlfn.TEXTJOIN(",", TRUE, D35:G35),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2,13</v>
      </c>
      <c r="I35" t="str" cm="1">
        <f t="array" ref="I35">IF(
    H35="",
    "",
    _xlfn.TEXTJOIN(
        ",",
        TRUE,
        _xlfn.SORTBY(
            _xlfn._xlws.FILTER(--TRIM(_xlfn.TEXTSPLIT(H35, ",")), ISNUMBER(--TRIM(_xlfn.TEXTSPLIT(H35, ",")))),
            --_xlfn._xlws.FILTER(--TRIM(_xlfn.TEXTSPLIT(H35, ",")), ISNUMBER(--TRIM(_xlfn.TEXTSPLIT(H35, ","))))
        )
    )
)</f>
        <v>2,13</v>
      </c>
    </row>
    <row r="36" spans="1:9" x14ac:dyDescent="0.25">
      <c r="A36" t="s">
        <v>73</v>
      </c>
      <c r="C36" t="s">
        <v>419</v>
      </c>
      <c r="D36" s="3" t="str">
        <f>_xlfn.XLOOKUP(_xlfn.CONCAT($A36,"_",D$30),'UFBGA176+25 GPIOs'!$B$1:$B$133,'UFBGA176+25 GPIOs'!$A$1:$A$133)</f>
        <v>PG9</v>
      </c>
      <c r="E36" s="3" t="str">
        <f>_xlfn.XLOOKUP(_xlfn.CONCAT($A36,"_",E$30),'UFBGA176+25 GPIOs'!$B$1:$B$133,'UFBGA176+25 GPIOs'!$A$1:$A$133)</f>
        <v>PG14</v>
      </c>
      <c r="H36" t="str" cm="1">
        <f t="array" ref="H36">_xlfn.LET(
    _xlpm.joined, _xlfn.TEXTJOIN(",", TRUE, D36:G36),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9,14</v>
      </c>
      <c r="I36" t="str" cm="1">
        <f t="array" ref="I36">IF(
    H36="",
    "",
    _xlfn.TEXTJOIN(
        ",",
        TRUE,
        _xlfn.SORTBY(
            _xlfn._xlws.FILTER(--TRIM(_xlfn.TEXTSPLIT(H36, ",")), ISNUMBER(--TRIM(_xlfn.TEXTSPLIT(H36, ",")))),
            --_xlfn._xlws.FILTER(--TRIM(_xlfn.TEXTSPLIT(H36, ",")), ISNUMBER(--TRIM(_xlfn.TEXTSPLIT(H36, ","))))
        )
    )
)</f>
        <v>9,14</v>
      </c>
    </row>
    <row r="37" spans="1:9" x14ac:dyDescent="0.25">
      <c r="A37" t="s">
        <v>37</v>
      </c>
      <c r="C37" t="s">
        <v>420</v>
      </c>
      <c r="D37" s="3" t="str">
        <f>_xlfn.XLOOKUP(_xlfn.CONCAT($A37,"_",D$30),'UFBGA176+25 GPIOs'!$B$1:$B$133,'UFBGA176+25 GPIOs'!$A$1:$A$133)</f>
        <v>PE7</v>
      </c>
      <c r="E37" s="3" t="str">
        <f>_xlfn.XLOOKUP(_xlfn.CONCAT($A37,"_",E$30),'UFBGA176+25 GPIOs'!$B$1:$B$133,'UFBGA176+25 GPIOs'!$A$1:$A$133)</f>
        <v>PE8</v>
      </c>
      <c r="H37" t="str" cm="1">
        <f t="array" ref="H37">_xlfn.LET(
    _xlpm.joined, _xlfn.TEXTJOIN(",", TRUE, D37:G37),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7,8</v>
      </c>
      <c r="I37" t="str" cm="1">
        <f t="array" ref="I37">IF(
    H37="",
    "",
    _xlfn.TEXTJOIN(
        ",",
        TRUE,
        _xlfn.SORTBY(
            _xlfn._xlws.FILTER(--TRIM(_xlfn.TEXTSPLIT(H37, ",")), ISNUMBER(--TRIM(_xlfn.TEXTSPLIT(H37, ",")))),
            --_xlfn._xlws.FILTER(--TRIM(_xlfn.TEXTSPLIT(H37, ",")), ISNUMBER(--TRIM(_xlfn.TEXTSPLIT(H37, ","))))
        )
    )
)</f>
        <v>7,8</v>
      </c>
    </row>
    <row r="38" spans="1:9" x14ac:dyDescent="0.25">
      <c r="A38" t="s">
        <v>38</v>
      </c>
      <c r="C38" t="s">
        <v>421</v>
      </c>
      <c r="D38" s="3" t="str">
        <f>_xlfn.XLOOKUP(_xlfn.CONCAT($A38,"_",D$30),'UFBGA176+25 GPIOs'!$B$1:$B$133,'UFBGA176+25 GPIOs'!$A$1:$A$133)</f>
        <v>PE0</v>
      </c>
      <c r="E38" s="3" t="str">
        <f>_xlfn.XLOOKUP(_xlfn.CONCAT($A38,"_",E$30),'UFBGA176+25 GPIOs'!$B$1:$B$133,'UFBGA176+25 GPIOs'!$A$1:$A$133)</f>
        <v>PE1</v>
      </c>
      <c r="H38" t="str" cm="1">
        <f t="array" ref="H38">_xlfn.LET(
    _xlpm.joined, _xlfn.TEXTJOIN(",", TRUE, D38:G38),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0,1</v>
      </c>
      <c r="I38" t="str" cm="1">
        <f t="array" ref="I38">IF(
    H38="",
    "",
    _xlfn.TEXTJOIN(
        ",",
        TRUE,
        _xlfn.SORTBY(
            _xlfn._xlws.FILTER(--TRIM(_xlfn.TEXTSPLIT(H38, ",")), ISNUMBER(--TRIM(_xlfn.TEXTSPLIT(H38, ",")))),
            --_xlfn._xlws.FILTER(--TRIM(_xlfn.TEXTSPLIT(H38, ",")), ISNUMBER(--TRIM(_xlfn.TEXTSPLIT(H38, ","))))
        )
    )
)</f>
        <v>0,1</v>
      </c>
    </row>
    <row r="39" spans="1:9" x14ac:dyDescent="0.25">
      <c r="A39" t="s">
        <v>105</v>
      </c>
      <c r="C39" t="s">
        <v>519</v>
      </c>
      <c r="D39" s="3" t="str">
        <f>_xlfn.XLOOKUP(_xlfn.CONCAT($A39,"_",D$30),'UFBGA176+25 GPIOs'!$B$1:$B$133,'UFBGA176+25 GPIOs'!$A$1:$A$133)</f>
        <v>PG0</v>
      </c>
      <c r="E39" s="3" t="str">
        <f>_xlfn.XLOOKUP(_xlfn.CONCAT($A39,"_",E$30),'UFBGA176+25 GPIOs'!$B$1:$B$133,'UFBGA176+25 GPIOs'!$A$1:$A$133)</f>
        <v>PG1</v>
      </c>
      <c r="H39" t="str" cm="1">
        <f t="array" ref="H39">_xlfn.LET(
    _xlpm.joined, _xlfn.TEXTJOIN(",", TRUE, D39:G39),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0,1</v>
      </c>
      <c r="I39" t="str" cm="1">
        <f t="array" ref="I39">IF(
    H39="",
    "",
    _xlfn.TEXTJOIN(
        ",",
        TRUE,
        _xlfn.SORTBY(
            _xlfn._xlws.FILTER(--TRIM(_xlfn.TEXTSPLIT(H39, ",")), ISNUMBER(--TRIM(_xlfn.TEXTSPLIT(H39, ",")))),
            --_xlfn._xlws.FILTER(--TRIM(_xlfn.TEXTSPLIT(H39, ",")), ISNUMBER(--TRIM(_xlfn.TEXTSPLIT(H39, ","))))
        )
    )
)</f>
        <v>0,1</v>
      </c>
    </row>
    <row r="40" spans="1:9" x14ac:dyDescent="0.25">
      <c r="A40" t="s">
        <v>84</v>
      </c>
      <c r="C40" t="s">
        <v>474</v>
      </c>
      <c r="D40" s="3" t="str">
        <f>_xlfn.XLOOKUP(_xlfn.CONCAT($A40,"_",D$30),'UFBGA176+25 GPIOs'!$B$1:$B$133,'UFBGA176+25 GPIOs'!$A$1:$A$133)</f>
        <v>PE2</v>
      </c>
      <c r="E40" s="3" t="str">
        <f>_xlfn.XLOOKUP(_xlfn.CONCAT($A40,"_",E$30),'UFBGA176+25 GPIOs'!$B$1:$B$133,'UFBGA176+25 GPIOs'!$A$1:$A$133)</f>
        <v>PE3</v>
      </c>
      <c r="H40" t="str" cm="1">
        <f t="array" ref="H40">_xlfn.LET(
    _xlpm.joined, _xlfn.TEXTJOIN(",", TRUE, D40:G40),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2,3</v>
      </c>
      <c r="I40" t="str" cm="1">
        <f t="array" ref="I40">IF(
    H40="",
    "",
    _xlfn.TEXTJOIN(
        ",",
        TRUE,
        _xlfn.SORTBY(
            _xlfn._xlws.FILTER(--TRIM(_xlfn.TEXTSPLIT(H40, ",")), ISNUMBER(--TRIM(_xlfn.TEXTSPLIT(H40, ",")))),
            --_xlfn._xlws.FILTER(--TRIM(_xlfn.TEXTSPLIT(H40, ",")), ISNUMBER(--TRIM(_xlfn.TEXTSPLIT(H40, ","))))
        )
    )
)</f>
        <v>2,3</v>
      </c>
    </row>
    <row r="41" spans="1:9" x14ac:dyDescent="0.25">
      <c r="D41" s="3"/>
      <c r="E41" s="3"/>
    </row>
    <row r="42" spans="1:9" x14ac:dyDescent="0.25">
      <c r="D42" t="s">
        <v>412</v>
      </c>
      <c r="E42" t="s">
        <v>413</v>
      </c>
    </row>
    <row r="43" spans="1:9" x14ac:dyDescent="0.25">
      <c r="A43" t="s">
        <v>520</v>
      </c>
      <c r="C43" t="s">
        <v>523</v>
      </c>
      <c r="D43" s="3" t="str">
        <f>_xlfn.XLOOKUP(_xlfn.CONCAT($A43,"_",D$42),'UFBGA176+25 GPIOs'!$B$1:$B$133,'UFBGA176+25 GPIOs'!$A$1:$A$133)</f>
        <v>PD0</v>
      </c>
      <c r="E43" s="3" t="str">
        <f>_xlfn.XLOOKUP(_xlfn.CONCAT($A43,"_",E$42),'UFBGA176+25 GPIOs'!$B$1:$B$133,'UFBGA176+25 GPIOs'!$A$1:$A$133)</f>
        <v>PH13</v>
      </c>
    </row>
    <row r="44" spans="1:9" x14ac:dyDescent="0.25">
      <c r="A44" t="s">
        <v>521</v>
      </c>
      <c r="C44" t="s">
        <v>522</v>
      </c>
      <c r="D44" s="3" t="str">
        <f>_xlfn.XLOOKUP(_xlfn.CONCAT($A44,"_",D$42),'UFBGA176+25 GPIOs'!$B$1:$B$133,'UFBGA176+25 GPIOs'!$A$1:$A$133)</f>
        <v>PG10</v>
      </c>
      <c r="E44" s="3" t="str">
        <f>_xlfn.XLOOKUP(_xlfn.CONCAT($A44,"_",E$42),'UFBGA176+25 GPIOs'!$B$1:$B$133,'UFBGA176+25 GPIOs'!$A$1:$A$133)</f>
        <v>PF7</v>
      </c>
    </row>
    <row r="45" spans="1:9" x14ac:dyDescent="0.25">
      <c r="D45" s="3"/>
      <c r="E45" s="3"/>
    </row>
    <row r="46" spans="1:9" x14ac:dyDescent="0.25">
      <c r="D46" t="s">
        <v>526</v>
      </c>
      <c r="E46" t="s">
        <v>527</v>
      </c>
    </row>
    <row r="47" spans="1:9" x14ac:dyDescent="0.25">
      <c r="A47" t="s">
        <v>525</v>
      </c>
      <c r="D47" s="3" t="str">
        <f>_xlfn.XLOOKUP(_xlfn.CONCAT($A47,"_",D$46),'UFBGA176+25 GPIOs'!$B$1:$B$133,'UFBGA176+25 GPIOs'!$A$1:$A$133)</f>
        <v>PH8</v>
      </c>
      <c r="E47" s="3" t="str">
        <f>_xlfn.XLOOKUP(_xlfn.CONCAT($A47,"_",E$46),'UFBGA176+25 GPIOs'!$B$1:$B$133,'UFBGA176+25 GPIOs'!$A$1:$A$133)</f>
        <v>PH7</v>
      </c>
    </row>
    <row r="48" spans="1:9" x14ac:dyDescent="0.25">
      <c r="A48" t="s">
        <v>528</v>
      </c>
      <c r="D48" s="3" t="str">
        <f>_xlfn.XLOOKUP(_xlfn.CONCAT($A48,"_",D$46),'UFBGA176+25 GPIOs'!$B$1:$B$133,'UFBGA176+25 GPIOs'!$A$1:$A$133)</f>
        <v>PF15</v>
      </c>
      <c r="E48" s="3" t="str">
        <f>_xlfn.XLOOKUP(_xlfn.CONCAT($A48,"_",E$46),'UFBGA176+25 GPIOs'!$B$1:$B$133,'UFBGA176+25 GPIOs'!$A$1:$A$133)</f>
        <v>PB8</v>
      </c>
    </row>
    <row r="49" spans="1:15" x14ac:dyDescent="0.25">
      <c r="D49" s="3"/>
      <c r="E49" s="3"/>
    </row>
    <row r="50" spans="1:15" x14ac:dyDescent="0.25">
      <c r="D50" s="3" t="s">
        <v>432</v>
      </c>
      <c r="E50" t="s">
        <v>434</v>
      </c>
      <c r="F50" t="s">
        <v>435</v>
      </c>
      <c r="G50" t="s">
        <v>436</v>
      </c>
      <c r="H50" t="s">
        <v>437</v>
      </c>
      <c r="I50" t="s">
        <v>438</v>
      </c>
      <c r="J50" t="s">
        <v>439</v>
      </c>
      <c r="K50" t="s">
        <v>440</v>
      </c>
      <c r="L50" t="s">
        <v>441</v>
      </c>
      <c r="M50" t="s">
        <v>442</v>
      </c>
      <c r="N50" t="s">
        <v>443</v>
      </c>
    </row>
    <row r="51" spans="1:15" x14ac:dyDescent="0.25">
      <c r="A51" t="s">
        <v>433</v>
      </c>
      <c r="B51" t="s">
        <v>145</v>
      </c>
      <c r="C51" t="s">
        <v>524</v>
      </c>
      <c r="D51" s="3" t="str">
        <f>_xlfn.XLOOKUP(_xlfn.CONCAT($A51,"_",D$50),'UFBGA176+25 GPIOs'!$B$1:$B$133,'UFBGA176+25 GPIOs'!$A$1:$A$133)</f>
        <v>PB2</v>
      </c>
      <c r="E51" s="3" t="str">
        <f>_xlfn.XLOOKUP(_xlfn.CONCAT($A51,"_",E$50),'UFBGA176+25 GPIOs'!$B$1:$B$133,'UFBGA176+25 GPIOs'!$A$1:$A$133)</f>
        <v>PF5</v>
      </c>
      <c r="F51" s="3" t="str">
        <f>_xlfn.XLOOKUP(_xlfn.CONCAT($A51,"_",F$50),'UFBGA176+25 GPIOs'!$B$1:$B$133,'UFBGA176+25 GPIOs'!$A$1:$A$133)</f>
        <v>PF4</v>
      </c>
      <c r="G51" s="3" t="str">
        <f>_xlfn.XLOOKUP(_xlfn.CONCAT($A51,"_",G$50),'UFBGA176+25 GPIOs'!$B$1:$B$133,'UFBGA176+25 GPIOs'!$A$1:$A$133)</f>
        <v>PD11</v>
      </c>
      <c r="H51" s="3" t="str">
        <f>_xlfn.XLOOKUP(_xlfn.CONCAT($A51,"_",H$50),'UFBGA176+25 GPIOs'!$B$1:$B$133,'UFBGA176+25 GPIOs'!$A$1:$A$133)</f>
        <v>PD12</v>
      </c>
      <c r="I51" s="3" t="str">
        <f>_xlfn.XLOOKUP(_xlfn.CONCAT($A51,"_",I$50),'UFBGA176+25 GPIOs'!$B$1:$B$133,'UFBGA176+25 GPIOs'!$A$1:$A$133)</f>
        <v>PC2</v>
      </c>
      <c r="J51" s="3" t="str">
        <f>_xlfn.XLOOKUP(_xlfn.CONCAT($A51,"_",J$50),'UFBGA176+25 GPIOs'!$B$1:$B$133,'UFBGA176+25 GPIOs'!$A$1:$A$133)</f>
        <v>PF6</v>
      </c>
      <c r="K51" s="3" t="str">
        <f>_xlfn.XLOOKUP(_xlfn.CONCAT($A51,"_",K$50),'UFBGA176+25 GPIOs'!$B$1:$B$133,'UFBGA176+25 GPIOs'!$A$1:$A$133)</f>
        <v>PD4</v>
      </c>
      <c r="L51" s="3" t="str">
        <f>_xlfn.XLOOKUP(_xlfn.CONCAT($A51,"_",L$50),'UFBGA176+25 GPIOs'!$B$1:$B$133,'UFBGA176+25 GPIOs'!$A$1:$A$133)</f>
        <v>PH3</v>
      </c>
      <c r="M51" s="3" t="str">
        <f>_xlfn.XLOOKUP(_xlfn.CONCAT($A51,"_",M$50),'UFBGA176+25 GPIOs'!$B$1:$B$133,'UFBGA176+25 GPIOs'!$A$1:$A$133)</f>
        <v>PC3</v>
      </c>
      <c r="N51" s="3" t="str">
        <f>_xlfn.XLOOKUP(_xlfn.CONCAT($A51,"_",N$50),'UFBGA176+25 GPIOs'!$B$1:$B$133,'UFBGA176+25 GPIOs'!$A$1:$A$133)</f>
        <v>PE10</v>
      </c>
      <c r="O51" s="3"/>
    </row>
    <row r="53" spans="1:15" x14ac:dyDescent="0.25">
      <c r="A53" t="s">
        <v>56</v>
      </c>
      <c r="C53" t="s">
        <v>146</v>
      </c>
      <c r="D53" t="s">
        <v>147</v>
      </c>
    </row>
    <row r="54" spans="1:15" x14ac:dyDescent="0.25">
      <c r="A54" t="s">
        <v>57</v>
      </c>
      <c r="C54" t="s">
        <v>299</v>
      </c>
    </row>
    <row r="55" spans="1:15" x14ac:dyDescent="0.25">
      <c r="A55" t="s">
        <v>50</v>
      </c>
      <c r="C55" t="s">
        <v>322</v>
      </c>
    </row>
    <row r="56" spans="1:15" x14ac:dyDescent="0.25">
      <c r="A56" t="s">
        <v>51</v>
      </c>
      <c r="C56" t="s">
        <v>323</v>
      </c>
    </row>
    <row r="57" spans="1:15" x14ac:dyDescent="0.25">
      <c r="A57" t="s">
        <v>64</v>
      </c>
    </row>
    <row r="58" spans="1:15" x14ac:dyDescent="0.25">
      <c r="A58" t="s">
        <v>465</v>
      </c>
      <c r="C58" t="s">
        <v>306</v>
      </c>
    </row>
    <row r="59" spans="1:15" x14ac:dyDescent="0.25">
      <c r="A59" t="s">
        <v>466</v>
      </c>
      <c r="C59" t="s">
        <v>308</v>
      </c>
    </row>
    <row r="60" spans="1:15" x14ac:dyDescent="0.25">
      <c r="A60" t="s">
        <v>467</v>
      </c>
      <c r="C60" t="s">
        <v>327</v>
      </c>
    </row>
    <row r="61" spans="1:15" x14ac:dyDescent="0.25">
      <c r="A61" t="s">
        <v>468</v>
      </c>
      <c r="C61" t="s">
        <v>328</v>
      </c>
    </row>
    <row r="62" spans="1:15" x14ac:dyDescent="0.25">
      <c r="A62" t="s">
        <v>148</v>
      </c>
      <c r="C62" t="s">
        <v>529</v>
      </c>
      <c r="D62" t="s">
        <v>149</v>
      </c>
    </row>
    <row r="63" spans="1:15" x14ac:dyDescent="0.25">
      <c r="A63" t="s">
        <v>152</v>
      </c>
      <c r="C63" t="s">
        <v>154</v>
      </c>
      <c r="D63" t="s">
        <v>153</v>
      </c>
    </row>
    <row r="64" spans="1:15" x14ac:dyDescent="0.25">
      <c r="A64" t="s">
        <v>469</v>
      </c>
    </row>
    <row r="65" spans="1:4" x14ac:dyDescent="0.25">
      <c r="A65" t="s">
        <v>470</v>
      </c>
    </row>
    <row r="66" spans="1:4" x14ac:dyDescent="0.25">
      <c r="A66" t="s">
        <v>157</v>
      </c>
      <c r="C66" t="s">
        <v>158</v>
      </c>
      <c r="D66" t="s">
        <v>99</v>
      </c>
    </row>
    <row r="67" spans="1:4" x14ac:dyDescent="0.25">
      <c r="A67" t="s">
        <v>471</v>
      </c>
      <c r="C67" t="s">
        <v>394</v>
      </c>
    </row>
    <row r="68" spans="1:4" x14ac:dyDescent="0.25">
      <c r="A68" t="s">
        <v>155</v>
      </c>
      <c r="C68" t="s">
        <v>145</v>
      </c>
      <c r="D68" t="s">
        <v>156</v>
      </c>
    </row>
    <row r="69" spans="1:4" x14ac:dyDescent="0.25">
      <c r="A69" t="str" cm="1">
        <f t="array" ref="A69">_xlfn.TEXTJOIN(",",TRUE,_xlfn._xlws.FILTER(A53:A68,D53:D68&lt;&gt;""))</f>
        <v>EXTI0,EXTI9,EXTI10,EXTI13,EXTI15</v>
      </c>
      <c r="B69" t="str" cm="1">
        <f t="array" ref="B69">_xlfn.TEXTJOIN(",", TRUE, --RIGHT(_xlfn.TEXTSPLIT(A69, ","), LEN(_xlfn.TEXTSPLIT(A69, ",")) - 4))</f>
        <v>0,9,10,13,15</v>
      </c>
    </row>
    <row r="70" spans="1:4" x14ac:dyDescent="0.25">
      <c r="D70" s="3"/>
    </row>
    <row r="71" spans="1:4" x14ac:dyDescent="0.25">
      <c r="A71" t="s">
        <v>160</v>
      </c>
      <c r="D71" s="3" t="str">
        <f>_xlfn.XLOOKUP($A71,'UFBGA176+25 GPIOs'!$H$1:$H$133,'UFBGA176+25 GPIOs'!$A$1:$A$133)</f>
        <v>PD7</v>
      </c>
    </row>
    <row r="72" spans="1:4" x14ac:dyDescent="0.25">
      <c r="A72" t="s">
        <v>444</v>
      </c>
      <c r="D72" s="3" t="str">
        <f>_xlfn.XLOOKUP($A72,'UFBGA176+25 GPIOs'!$H$1:$H$133,'UFBGA176+25 GPIOs'!$A$1:$A$133)</f>
        <v>PG15</v>
      </c>
    </row>
    <row r="73" spans="1:4" x14ac:dyDescent="0.25">
      <c r="A73" t="s">
        <v>226</v>
      </c>
      <c r="D73" s="3" t="str">
        <f>_xlfn.XLOOKUP($A73,'UFBGA176+25 GPIOs'!$H$1:$H$133,'UFBGA176+25 GPIOs'!$A$1:$A$133)</f>
        <v>PF10</v>
      </c>
    </row>
    <row r="74" spans="1:4" x14ac:dyDescent="0.25">
      <c r="A74" t="s">
        <v>227</v>
      </c>
      <c r="D74" s="3" t="str">
        <f>_xlfn.XLOOKUP($A74,'UFBGA176+25 GPIOs'!$H$1:$H$133,'UFBGA176+25 GPIOs'!$A$1:$A$133)</f>
        <v>PH15</v>
      </c>
    </row>
    <row r="75" spans="1:4" x14ac:dyDescent="0.25">
      <c r="D75" s="3"/>
    </row>
    <row r="76" spans="1:4" x14ac:dyDescent="0.25">
      <c r="A76" t="s">
        <v>163</v>
      </c>
      <c r="B76" t="s">
        <v>167</v>
      </c>
      <c r="C76" t="s">
        <v>133</v>
      </c>
      <c r="D76" s="3" t="str">
        <f>_xlfn.XLOOKUP($A76,'UFBGA176+25 GPIOs'!$H$1:$H$133,'UFBGA176+25 GPIOs'!$A$1:$A$133)</f>
        <v>PA1_C</v>
      </c>
    </row>
    <row r="77" spans="1:4" x14ac:dyDescent="0.25">
      <c r="A77" t="s">
        <v>446</v>
      </c>
      <c r="B77" t="s">
        <v>166</v>
      </c>
      <c r="C77" t="s">
        <v>133</v>
      </c>
      <c r="D77" s="3" t="str">
        <f>_xlfn.XLOOKUP($A77,'UFBGA176+25 GPIOs'!$H$1:$H$133,'UFBGA176+25 GPIOs'!$A$1:$A$133)</f>
        <v>PA0_C</v>
      </c>
    </row>
    <row r="78" spans="1:4" x14ac:dyDescent="0.25">
      <c r="A78" t="s">
        <v>445</v>
      </c>
      <c r="B78" t="s">
        <v>168</v>
      </c>
      <c r="C78" t="s">
        <v>201</v>
      </c>
      <c r="D78" s="3" t="str">
        <f>_xlfn.XLOOKUP($A78,'UFBGA176+25 GPIOs'!$H$1:$H$133,'UFBGA176+25 GPIOs'!$A$1:$A$133)</f>
        <v>PC2_C</v>
      </c>
    </row>
    <row r="79" spans="1:4" x14ac:dyDescent="0.25">
      <c r="A79" t="s">
        <v>447</v>
      </c>
      <c r="B79" t="s">
        <v>169</v>
      </c>
      <c r="C79" t="s">
        <v>202</v>
      </c>
      <c r="D79" s="3" t="str">
        <f>_xlfn.XLOOKUP($A79,'UFBGA176+25 GPIOs'!$H$1:$H$133,'UFBGA176+25 GPIOs'!$A$1:$A$133)</f>
        <v>PC3_C</v>
      </c>
    </row>
    <row r="81" spans="1:6" x14ac:dyDescent="0.25">
      <c r="A81" t="s">
        <v>182</v>
      </c>
      <c r="B81" t="s">
        <v>192</v>
      </c>
      <c r="C81" t="s">
        <v>196</v>
      </c>
      <c r="D81" s="3" t="str">
        <f>_xlfn.XLOOKUP($A81,'UFBGA176+25 GPIOs'!$H$1:$H$133,'UFBGA176+25 GPIOs'!$A$1:$A$133)</f>
        <v>PG2</v>
      </c>
    </row>
    <row r="82" spans="1:6" x14ac:dyDescent="0.25">
      <c r="A82" t="s">
        <v>183</v>
      </c>
      <c r="B82" t="s">
        <v>192</v>
      </c>
      <c r="C82" t="s">
        <v>197</v>
      </c>
      <c r="D82" s="3" t="str">
        <f>_xlfn.XLOOKUP($A82,'UFBGA176+25 GPIOs'!$H$1:$H$133,'UFBGA176+25 GPIOs'!$A$1:$A$133)</f>
        <v>PG3</v>
      </c>
    </row>
    <row r="83" spans="1:6" x14ac:dyDescent="0.25">
      <c r="A83" t="s">
        <v>184</v>
      </c>
      <c r="B83" t="s">
        <v>192</v>
      </c>
      <c r="C83" t="s">
        <v>198</v>
      </c>
      <c r="D83" s="3" t="str">
        <f>_xlfn.XLOOKUP($A83,'UFBGA176+25 GPIOs'!$H$1:$H$133,'UFBGA176+25 GPIOs'!$A$1:$A$133)</f>
        <v>PG4</v>
      </c>
    </row>
    <row r="84" spans="1:6" x14ac:dyDescent="0.25">
      <c r="A84" t="s">
        <v>185</v>
      </c>
      <c r="B84" t="s">
        <v>192</v>
      </c>
      <c r="C84" t="s">
        <v>198</v>
      </c>
      <c r="D84" s="3" t="str">
        <f>_xlfn.XLOOKUP($A84,'UFBGA176+25 GPIOs'!$H$1:$H$133,'UFBGA176+25 GPIOs'!$A$1:$A$133)</f>
        <v>PG5</v>
      </c>
    </row>
    <row r="85" spans="1:6" x14ac:dyDescent="0.25">
      <c r="A85" t="s">
        <v>186</v>
      </c>
      <c r="B85" t="s">
        <v>192</v>
      </c>
      <c r="C85" t="s">
        <v>199</v>
      </c>
      <c r="D85" s="3" t="str">
        <f>_xlfn.XLOOKUP($A85,'UFBGA176+25 GPIOs'!$H$1:$H$133,'UFBGA176+25 GPIOs'!$A$1:$A$133)</f>
        <v>PG7</v>
      </c>
    </row>
    <row r="86" spans="1:6" x14ac:dyDescent="0.25">
      <c r="A86" t="s">
        <v>187</v>
      </c>
      <c r="B86" t="s">
        <v>192</v>
      </c>
      <c r="C86" t="s">
        <v>200</v>
      </c>
      <c r="D86" s="3" t="e">
        <f>_xlfn.XLOOKUP($A86,'UFBGA176+25 GPIOs'!$H$1:$H$133,'UFBGA176+25 GPIOs'!$A$1:$A$133)</f>
        <v>#N/A</v>
      </c>
    </row>
    <row r="87" spans="1:6" x14ac:dyDescent="0.25">
      <c r="A87" t="s">
        <v>188</v>
      </c>
      <c r="B87" t="s">
        <v>193</v>
      </c>
      <c r="C87" t="s">
        <v>195</v>
      </c>
      <c r="D87" s="3" t="str">
        <f>_xlfn.XLOOKUP($A87,'UFBGA176+25 GPIOs'!$H$1:$H$133,'UFBGA176+25 GPIOs'!$A$1:$A$133)</f>
        <v>PH2</v>
      </c>
    </row>
    <row r="88" spans="1:6" x14ac:dyDescent="0.25">
      <c r="A88" t="s">
        <v>189</v>
      </c>
      <c r="B88" t="s">
        <v>193</v>
      </c>
      <c r="C88" t="s">
        <v>194</v>
      </c>
      <c r="D88" s="3" t="str">
        <f>_xlfn.XLOOKUP($A88,'UFBGA176+25 GPIOs'!$H$1:$H$133,'UFBGA176+25 GPIOs'!$A$1:$A$133)</f>
        <v>PH4</v>
      </c>
    </row>
    <row r="90" spans="1:6" x14ac:dyDescent="0.25">
      <c r="A90" t="s">
        <v>180</v>
      </c>
      <c r="B90" t="s">
        <v>179</v>
      </c>
      <c r="C90" t="s">
        <v>181</v>
      </c>
      <c r="D90" s="3" t="e">
        <f>_xlfn.XLOOKUP($A90,'UFBGA176+25 GPIOs'!$H$1:$H$133,'UFBGA176+25 GPIOs'!$A$1:$A$133)</f>
        <v>#N/A</v>
      </c>
    </row>
    <row r="91" spans="1:6" x14ac:dyDescent="0.25">
      <c r="D91" s="3"/>
    </row>
    <row r="92" spans="1:6" x14ac:dyDescent="0.25">
      <c r="D92" t="s">
        <v>448</v>
      </c>
      <c r="E92" t="s">
        <v>449</v>
      </c>
      <c r="F92" t="s">
        <v>450</v>
      </c>
    </row>
    <row r="93" spans="1:6" x14ac:dyDescent="0.25">
      <c r="A93" t="s">
        <v>451</v>
      </c>
      <c r="B93" t="s">
        <v>203</v>
      </c>
      <c r="C93" t="s">
        <v>204</v>
      </c>
      <c r="D93" s="3" t="str">
        <f>_xlfn.XLOOKUP(_xlfn.CONCAT($A93,"_",D$92),'UFBGA176+25 GPIOs'!$B$1:$B$133,'UFBGA176+25 GPIOs'!$A$1:$A$133)</f>
        <v>PA11</v>
      </c>
      <c r="E93" s="3" t="str">
        <f>_xlfn.XLOOKUP(_xlfn.CONCAT($A93,"_",E$92),'UFBGA176+25 GPIOs'!$B$1:$B$133,'UFBGA176+25 GPIOs'!$A$1:$A$133)</f>
        <v>PA12</v>
      </c>
      <c r="F93" s="3" t="str">
        <f>_xlfn.XLOOKUP(_xlfn.CONCAT($A93,"_",F$92),'UFBGA176+25 GPIOs'!$B$1:$B$133,'UFBGA176+25 GPIOs'!$A$1:$A$133)</f>
        <v>PA10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D7FC5-7D5B-4EB8-ACE9-BD3157D0914C}">
  <dimension ref="A1:I133"/>
  <sheetViews>
    <sheetView topLeftCell="A54" workbookViewId="0">
      <selection activeCell="B64" sqref="B64"/>
    </sheetView>
    <sheetView workbookViewId="1">
      <selection activeCell="D9" sqref="D9"/>
    </sheetView>
  </sheetViews>
  <sheetFormatPr defaultColWidth="73.140625" defaultRowHeight="15" x14ac:dyDescent="0.25"/>
  <cols>
    <col min="1" max="1" width="20.7109375" bestFit="1" customWidth="1"/>
    <col min="2" max="2" width="19.140625" bestFit="1" customWidth="1"/>
    <col min="3" max="3" width="18.7109375" bestFit="1" customWidth="1"/>
    <col min="4" max="4" width="51.85546875" bestFit="1" customWidth="1"/>
    <col min="5" max="5" width="27" bestFit="1" customWidth="1"/>
    <col min="6" max="6" width="9.140625" bestFit="1" customWidth="1"/>
    <col min="7" max="7" width="12.42578125" bestFit="1" customWidth="1"/>
    <col min="8" max="8" width="23" bestFit="1" customWidth="1"/>
    <col min="9" max="9" width="11" bestFit="1" customWidth="1"/>
  </cols>
  <sheetData>
    <row r="1" spans="1:9" x14ac:dyDescent="0.25">
      <c r="A1" t="s">
        <v>403</v>
      </c>
      <c r="B1" t="s">
        <v>404</v>
      </c>
      <c r="C1" t="s">
        <v>406</v>
      </c>
      <c r="D1" t="s">
        <v>405</v>
      </c>
      <c r="E1" t="s">
        <v>407</v>
      </c>
      <c r="F1" t="s">
        <v>408</v>
      </c>
      <c r="G1" t="s">
        <v>409</v>
      </c>
      <c r="H1" t="s">
        <v>410</v>
      </c>
      <c r="I1" t="s">
        <v>411</v>
      </c>
    </row>
    <row r="2" spans="1:9" x14ac:dyDescent="0.25">
      <c r="A2" s="3" t="s">
        <v>127</v>
      </c>
      <c r="B2" s="3" t="s">
        <v>237</v>
      </c>
      <c r="C2" s="3" t="s">
        <v>207</v>
      </c>
      <c r="D2" s="3" t="s">
        <v>238</v>
      </c>
      <c r="E2" s="3" t="s">
        <v>210</v>
      </c>
      <c r="F2" s="3" t="s">
        <v>208</v>
      </c>
      <c r="G2" s="3" t="s">
        <v>207</v>
      </c>
      <c r="H2" s="3"/>
      <c r="I2" s="3" t="b">
        <v>0</v>
      </c>
    </row>
    <row r="3" spans="1:9" x14ac:dyDescent="0.25">
      <c r="A3" s="3" t="s">
        <v>239</v>
      </c>
      <c r="B3" s="3" t="s">
        <v>240</v>
      </c>
      <c r="C3" s="3" t="s">
        <v>207</v>
      </c>
      <c r="D3" s="3" t="s">
        <v>238</v>
      </c>
      <c r="E3" s="3" t="s">
        <v>210</v>
      </c>
      <c r="F3" s="3" t="s">
        <v>208</v>
      </c>
      <c r="G3" s="3" t="s">
        <v>207</v>
      </c>
      <c r="H3" s="3"/>
      <c r="I3" s="3" t="b">
        <v>0</v>
      </c>
    </row>
    <row r="4" spans="1:9" x14ac:dyDescent="0.25">
      <c r="A4" s="3" t="s">
        <v>241</v>
      </c>
      <c r="B4" s="3" t="s">
        <v>242</v>
      </c>
      <c r="C4" s="3" t="s">
        <v>207</v>
      </c>
      <c r="D4" s="3" t="s">
        <v>238</v>
      </c>
      <c r="E4" s="3" t="s">
        <v>210</v>
      </c>
      <c r="F4" s="3" t="s">
        <v>208</v>
      </c>
      <c r="G4" s="3" t="s">
        <v>207</v>
      </c>
      <c r="H4" s="3"/>
      <c r="I4" s="3" t="b">
        <v>0</v>
      </c>
    </row>
    <row r="5" spans="1:9" x14ac:dyDescent="0.25">
      <c r="A5" s="3" t="s">
        <v>128</v>
      </c>
      <c r="B5" s="3" t="s">
        <v>243</v>
      </c>
      <c r="C5" s="3" t="s">
        <v>207</v>
      </c>
      <c r="D5" s="3" t="s">
        <v>238</v>
      </c>
      <c r="E5" s="3" t="s">
        <v>210</v>
      </c>
      <c r="F5" s="3" t="s">
        <v>208</v>
      </c>
      <c r="G5" s="3" t="s">
        <v>207</v>
      </c>
      <c r="H5" s="3"/>
      <c r="I5" s="3" t="b">
        <v>0</v>
      </c>
    </row>
    <row r="6" spans="1:9" x14ac:dyDescent="0.25">
      <c r="A6" s="3" t="s">
        <v>60</v>
      </c>
      <c r="B6" s="3" t="s">
        <v>235</v>
      </c>
      <c r="C6" s="3" t="s">
        <v>207</v>
      </c>
      <c r="D6" s="3" t="s">
        <v>234</v>
      </c>
      <c r="E6" s="3" t="s">
        <v>210</v>
      </c>
      <c r="F6" s="3" t="s">
        <v>207</v>
      </c>
      <c r="G6" s="3" t="s">
        <v>207</v>
      </c>
      <c r="H6" s="3"/>
      <c r="I6" s="3" t="b">
        <v>0</v>
      </c>
    </row>
    <row r="7" spans="1:9" x14ac:dyDescent="0.25">
      <c r="A7" s="3" t="s">
        <v>142</v>
      </c>
      <c r="B7" s="3" t="s">
        <v>236</v>
      </c>
      <c r="C7" s="3" t="s">
        <v>207</v>
      </c>
      <c r="D7" s="3" t="s">
        <v>234</v>
      </c>
      <c r="E7" s="3" t="s">
        <v>210</v>
      </c>
      <c r="F7" s="3" t="s">
        <v>207</v>
      </c>
      <c r="G7" s="3" t="s">
        <v>207</v>
      </c>
      <c r="H7" s="3"/>
      <c r="I7" s="3" t="b">
        <v>0</v>
      </c>
    </row>
    <row r="8" spans="1:9" x14ac:dyDescent="0.25">
      <c r="A8" s="3" t="s">
        <v>135</v>
      </c>
      <c r="B8" s="3" t="s">
        <v>244</v>
      </c>
      <c r="C8" s="3" t="s">
        <v>207</v>
      </c>
      <c r="D8" s="3" t="s">
        <v>238</v>
      </c>
      <c r="E8" s="3" t="s">
        <v>210</v>
      </c>
      <c r="F8" s="3" t="s">
        <v>208</v>
      </c>
      <c r="G8" s="3" t="s">
        <v>207</v>
      </c>
      <c r="H8" s="3"/>
      <c r="I8" s="3" t="b">
        <v>0</v>
      </c>
    </row>
    <row r="9" spans="1:9" x14ac:dyDescent="0.25">
      <c r="A9" s="3" t="s">
        <v>245</v>
      </c>
      <c r="B9" s="3" t="s">
        <v>246</v>
      </c>
      <c r="C9" s="3" t="s">
        <v>207</v>
      </c>
      <c r="D9" s="3" t="s">
        <v>238</v>
      </c>
      <c r="E9" s="3" t="s">
        <v>210</v>
      </c>
      <c r="F9" s="3" t="s">
        <v>208</v>
      </c>
      <c r="G9" s="3" t="s">
        <v>207</v>
      </c>
      <c r="H9" s="3"/>
      <c r="I9" s="3" t="b">
        <v>0</v>
      </c>
    </row>
    <row r="10" spans="1:9" x14ac:dyDescent="0.25">
      <c r="A10" s="3" t="s">
        <v>247</v>
      </c>
      <c r="B10" s="3" t="s">
        <v>248</v>
      </c>
      <c r="C10" s="3" t="s">
        <v>207</v>
      </c>
      <c r="D10" s="3" t="s">
        <v>238</v>
      </c>
      <c r="E10" s="3" t="s">
        <v>210</v>
      </c>
      <c r="F10" s="3" t="s">
        <v>208</v>
      </c>
      <c r="G10" s="3" t="s">
        <v>207</v>
      </c>
      <c r="H10" s="3"/>
      <c r="I10" s="3" t="b">
        <v>0</v>
      </c>
    </row>
    <row r="11" spans="1:9" x14ac:dyDescent="0.25">
      <c r="A11" s="3" t="s">
        <v>249</v>
      </c>
      <c r="B11" s="3" t="s">
        <v>250</v>
      </c>
      <c r="C11" s="3" t="s">
        <v>207</v>
      </c>
      <c r="D11" s="3" t="s">
        <v>238</v>
      </c>
      <c r="E11" s="3" t="s">
        <v>210</v>
      </c>
      <c r="F11" s="3" t="s">
        <v>208</v>
      </c>
      <c r="G11" s="3" t="s">
        <v>207</v>
      </c>
      <c r="H11" s="3"/>
      <c r="I11" s="3" t="b">
        <v>0</v>
      </c>
    </row>
    <row r="12" spans="1:9" x14ac:dyDescent="0.25">
      <c r="A12" s="3" t="s">
        <v>251</v>
      </c>
      <c r="B12" s="3" t="s">
        <v>252</v>
      </c>
      <c r="C12" s="3" t="s">
        <v>207</v>
      </c>
      <c r="D12" s="3" t="s">
        <v>238</v>
      </c>
      <c r="E12" s="3" t="s">
        <v>210</v>
      </c>
      <c r="F12" s="3" t="s">
        <v>208</v>
      </c>
      <c r="G12" s="3" t="s">
        <v>207</v>
      </c>
      <c r="H12" s="3"/>
      <c r="I12" s="3" t="b">
        <v>0</v>
      </c>
    </row>
    <row r="13" spans="1:9" x14ac:dyDescent="0.25">
      <c r="A13" s="3" t="s">
        <v>203</v>
      </c>
      <c r="B13" s="3" t="s">
        <v>211</v>
      </c>
      <c r="C13" s="3" t="s">
        <v>207</v>
      </c>
      <c r="D13" s="3" t="s">
        <v>207</v>
      </c>
      <c r="E13" s="3" t="s">
        <v>207</v>
      </c>
      <c r="F13" s="3" t="s">
        <v>207</v>
      </c>
      <c r="G13" s="3" t="s">
        <v>207</v>
      </c>
      <c r="H13" s="3"/>
      <c r="I13" s="3" t="b">
        <v>0</v>
      </c>
    </row>
    <row r="14" spans="1:9" x14ac:dyDescent="0.25">
      <c r="A14" s="3" t="s">
        <v>204</v>
      </c>
      <c r="B14" s="3" t="s">
        <v>212</v>
      </c>
      <c r="C14" s="3" t="s">
        <v>207</v>
      </c>
      <c r="D14" s="3" t="s">
        <v>207</v>
      </c>
      <c r="E14" s="3" t="s">
        <v>207</v>
      </c>
      <c r="F14" s="3" t="s">
        <v>207</v>
      </c>
      <c r="G14" s="3" t="s">
        <v>207</v>
      </c>
      <c r="H14" s="3"/>
      <c r="I14" s="3" t="b">
        <v>0</v>
      </c>
    </row>
    <row r="15" spans="1:9" x14ac:dyDescent="0.25">
      <c r="A15" s="3" t="s">
        <v>213</v>
      </c>
      <c r="B15" s="3" t="s">
        <v>214</v>
      </c>
      <c r="C15" s="3" t="s">
        <v>207</v>
      </c>
      <c r="D15" s="3" t="s">
        <v>207</v>
      </c>
      <c r="E15" s="3" t="s">
        <v>207</v>
      </c>
      <c r="F15" s="3" t="s">
        <v>207</v>
      </c>
      <c r="G15" s="3" t="s">
        <v>207</v>
      </c>
      <c r="H15" s="3"/>
      <c r="I15" s="3" t="b">
        <v>0</v>
      </c>
    </row>
    <row r="16" spans="1:9" x14ac:dyDescent="0.25">
      <c r="A16" s="3" t="s">
        <v>215</v>
      </c>
      <c r="B16" s="3" t="s">
        <v>216</v>
      </c>
      <c r="C16" s="3" t="s">
        <v>207</v>
      </c>
      <c r="D16" s="3" t="s">
        <v>207</v>
      </c>
      <c r="E16" s="3" t="s">
        <v>207</v>
      </c>
      <c r="F16" s="3" t="s">
        <v>207</v>
      </c>
      <c r="G16" s="3" t="s">
        <v>207</v>
      </c>
      <c r="H16" s="3"/>
      <c r="I16" s="3" t="b">
        <v>0</v>
      </c>
    </row>
    <row r="17" spans="1:9" x14ac:dyDescent="0.25">
      <c r="A17" s="3" t="s">
        <v>253</v>
      </c>
      <c r="B17" s="3" t="s">
        <v>254</v>
      </c>
      <c r="C17" s="3" t="s">
        <v>207</v>
      </c>
      <c r="D17" s="3" t="s">
        <v>238</v>
      </c>
      <c r="E17" s="3" t="s">
        <v>210</v>
      </c>
      <c r="F17" s="3" t="s">
        <v>208</v>
      </c>
      <c r="G17" s="3" t="s">
        <v>207</v>
      </c>
      <c r="H17" s="3"/>
      <c r="I17" s="3" t="b">
        <v>0</v>
      </c>
    </row>
    <row r="18" spans="1:9" x14ac:dyDescent="0.25">
      <c r="A18" s="3" t="s">
        <v>255</v>
      </c>
      <c r="B18" s="3" t="s">
        <v>256</v>
      </c>
      <c r="C18" s="3" t="s">
        <v>207</v>
      </c>
      <c r="D18" s="3" t="s">
        <v>238</v>
      </c>
      <c r="E18" s="3" t="s">
        <v>210</v>
      </c>
      <c r="F18" s="3" t="s">
        <v>208</v>
      </c>
      <c r="G18" s="3" t="s">
        <v>207</v>
      </c>
      <c r="H18" s="3"/>
      <c r="I18" s="3" t="b">
        <v>0</v>
      </c>
    </row>
    <row r="19" spans="1:9" x14ac:dyDescent="0.25">
      <c r="A19" s="3" t="s">
        <v>257</v>
      </c>
      <c r="B19" s="3" t="s">
        <v>258</v>
      </c>
      <c r="C19" s="3" t="s">
        <v>207</v>
      </c>
      <c r="D19" s="3" t="s">
        <v>238</v>
      </c>
      <c r="E19" s="3" t="s">
        <v>210</v>
      </c>
      <c r="F19" s="3" t="s">
        <v>208</v>
      </c>
      <c r="G19" s="3" t="s">
        <v>207</v>
      </c>
      <c r="H19" s="3"/>
      <c r="I19" s="3" t="b">
        <v>0</v>
      </c>
    </row>
    <row r="20" spans="1:9" x14ac:dyDescent="0.25">
      <c r="A20" s="3" t="s">
        <v>61</v>
      </c>
      <c r="B20" s="3" t="s">
        <v>259</v>
      </c>
      <c r="C20" s="3" t="s">
        <v>207</v>
      </c>
      <c r="D20" s="3" t="s">
        <v>238</v>
      </c>
      <c r="E20" s="3" t="s">
        <v>210</v>
      </c>
      <c r="F20" s="3" t="s">
        <v>260</v>
      </c>
      <c r="G20" s="3" t="s">
        <v>207</v>
      </c>
      <c r="H20" s="3"/>
      <c r="I20" s="3" t="b">
        <v>0</v>
      </c>
    </row>
    <row r="21" spans="1:9" x14ac:dyDescent="0.25">
      <c r="A21" s="3" t="s">
        <v>261</v>
      </c>
      <c r="B21" s="3" t="s">
        <v>262</v>
      </c>
      <c r="C21" s="3" t="s">
        <v>207</v>
      </c>
      <c r="D21" s="3" t="s">
        <v>238</v>
      </c>
      <c r="E21" s="3" t="s">
        <v>210</v>
      </c>
      <c r="F21" s="3" t="s">
        <v>208</v>
      </c>
      <c r="G21" s="3" t="s">
        <v>207</v>
      </c>
      <c r="H21" s="3"/>
      <c r="I21" s="3" t="b">
        <v>0</v>
      </c>
    </row>
    <row r="22" spans="1:9" x14ac:dyDescent="0.25">
      <c r="A22" s="3" t="s">
        <v>263</v>
      </c>
      <c r="B22" s="3" t="s">
        <v>264</v>
      </c>
      <c r="C22" s="3" t="s">
        <v>207</v>
      </c>
      <c r="D22" s="3" t="s">
        <v>238</v>
      </c>
      <c r="E22" s="3" t="s">
        <v>210</v>
      </c>
      <c r="F22" s="3" t="s">
        <v>208</v>
      </c>
      <c r="G22" s="3" t="s">
        <v>207</v>
      </c>
      <c r="H22" s="3"/>
      <c r="I22" s="3" t="b">
        <v>0</v>
      </c>
    </row>
    <row r="23" spans="1:9" x14ac:dyDescent="0.25">
      <c r="A23" s="3" t="s">
        <v>265</v>
      </c>
      <c r="B23" s="3" t="s">
        <v>266</v>
      </c>
      <c r="C23" s="3" t="s">
        <v>207</v>
      </c>
      <c r="D23" s="3" t="s">
        <v>238</v>
      </c>
      <c r="E23" s="3" t="s">
        <v>210</v>
      </c>
      <c r="F23" s="3" t="s">
        <v>208</v>
      </c>
      <c r="G23" s="3" t="s">
        <v>207</v>
      </c>
      <c r="H23" s="3"/>
      <c r="I23" s="3" t="b">
        <v>0</v>
      </c>
    </row>
    <row r="24" spans="1:9" x14ac:dyDescent="0.25">
      <c r="A24" s="3" t="s">
        <v>267</v>
      </c>
      <c r="B24" s="3" t="s">
        <v>268</v>
      </c>
      <c r="C24" s="3" t="s">
        <v>207</v>
      </c>
      <c r="D24" s="3" t="s">
        <v>238</v>
      </c>
      <c r="E24" s="3" t="s">
        <v>210</v>
      </c>
      <c r="F24" s="3" t="s">
        <v>208</v>
      </c>
      <c r="G24" s="3" t="s">
        <v>269</v>
      </c>
      <c r="H24" s="3"/>
      <c r="I24" s="3" t="b">
        <v>0</v>
      </c>
    </row>
    <row r="25" spans="1:9" x14ac:dyDescent="0.25">
      <c r="A25" s="3" t="s">
        <v>270</v>
      </c>
      <c r="B25" s="3" t="s">
        <v>271</v>
      </c>
      <c r="C25" s="3" t="s">
        <v>207</v>
      </c>
      <c r="D25" s="3" t="s">
        <v>238</v>
      </c>
      <c r="E25" s="3" t="s">
        <v>210</v>
      </c>
      <c r="F25" s="3" t="s">
        <v>208</v>
      </c>
      <c r="G25" s="3" t="s">
        <v>269</v>
      </c>
      <c r="H25" s="3"/>
      <c r="I25" s="3" t="b">
        <v>0</v>
      </c>
    </row>
    <row r="26" spans="1:9" x14ac:dyDescent="0.25">
      <c r="A26" s="3" t="s">
        <v>395</v>
      </c>
      <c r="B26" s="3" t="s">
        <v>396</v>
      </c>
      <c r="C26" s="3" t="s">
        <v>207</v>
      </c>
      <c r="D26" s="3" t="s">
        <v>397</v>
      </c>
      <c r="E26" s="3" t="s">
        <v>210</v>
      </c>
      <c r="F26" s="3" t="s">
        <v>208</v>
      </c>
      <c r="G26" s="3" t="s">
        <v>207</v>
      </c>
      <c r="H26" s="3"/>
      <c r="I26" s="3" t="b">
        <v>0</v>
      </c>
    </row>
    <row r="27" spans="1:9" x14ac:dyDescent="0.25">
      <c r="A27" s="3" t="s">
        <v>45</v>
      </c>
      <c r="B27" s="3" t="s">
        <v>272</v>
      </c>
      <c r="C27" s="3" t="s">
        <v>207</v>
      </c>
      <c r="D27" s="3" t="s">
        <v>238</v>
      </c>
      <c r="E27" s="3" t="s">
        <v>210</v>
      </c>
      <c r="F27" s="3" t="s">
        <v>208</v>
      </c>
      <c r="G27" s="3" t="s">
        <v>269</v>
      </c>
      <c r="H27" s="3"/>
      <c r="I27" s="3" t="b">
        <v>0</v>
      </c>
    </row>
    <row r="28" spans="1:9" x14ac:dyDescent="0.25">
      <c r="A28" s="3" t="s">
        <v>46</v>
      </c>
      <c r="B28" s="3" t="s">
        <v>273</v>
      </c>
      <c r="C28" s="3" t="s">
        <v>207</v>
      </c>
      <c r="D28" s="3" t="s">
        <v>238</v>
      </c>
      <c r="E28" s="3" t="s">
        <v>210</v>
      </c>
      <c r="F28" s="3" t="s">
        <v>208</v>
      </c>
      <c r="G28" s="3" t="s">
        <v>207</v>
      </c>
      <c r="H28" s="3"/>
      <c r="I28" s="3" t="b">
        <v>0</v>
      </c>
    </row>
    <row r="29" spans="1:9" x14ac:dyDescent="0.25">
      <c r="A29" s="3" t="s">
        <v>122</v>
      </c>
      <c r="B29" s="3" t="s">
        <v>274</v>
      </c>
      <c r="C29" s="3" t="s">
        <v>207</v>
      </c>
      <c r="D29" s="3" t="s">
        <v>238</v>
      </c>
      <c r="E29" s="3" t="s">
        <v>210</v>
      </c>
      <c r="F29" s="3" t="s">
        <v>208</v>
      </c>
      <c r="G29" s="3" t="s">
        <v>207</v>
      </c>
      <c r="H29" s="3"/>
      <c r="I29" s="3" t="b">
        <v>0</v>
      </c>
    </row>
    <row r="30" spans="1:9" x14ac:dyDescent="0.25">
      <c r="A30" s="3" t="s">
        <v>275</v>
      </c>
      <c r="B30" s="3" t="s">
        <v>276</v>
      </c>
      <c r="C30" s="3" t="s">
        <v>207</v>
      </c>
      <c r="D30" s="3" t="s">
        <v>238</v>
      </c>
      <c r="E30" s="3" t="s">
        <v>210</v>
      </c>
      <c r="F30" s="3" t="s">
        <v>208</v>
      </c>
      <c r="G30" s="3" t="s">
        <v>207</v>
      </c>
      <c r="H30" s="3"/>
      <c r="I30" s="3" t="b">
        <v>0</v>
      </c>
    </row>
    <row r="31" spans="1:9" x14ac:dyDescent="0.25">
      <c r="A31" s="3" t="s">
        <v>277</v>
      </c>
      <c r="B31" s="3" t="s">
        <v>278</v>
      </c>
      <c r="C31" s="3" t="s">
        <v>207</v>
      </c>
      <c r="D31" s="3" t="s">
        <v>238</v>
      </c>
      <c r="E31" s="3" t="s">
        <v>210</v>
      </c>
      <c r="F31" s="3" t="s">
        <v>208</v>
      </c>
      <c r="G31" s="3" t="s">
        <v>207</v>
      </c>
      <c r="H31" s="3"/>
      <c r="I31" s="3" t="b">
        <v>0</v>
      </c>
    </row>
    <row r="32" spans="1:9" x14ac:dyDescent="0.25">
      <c r="A32" s="3" t="s">
        <v>279</v>
      </c>
      <c r="B32" s="3" t="s">
        <v>280</v>
      </c>
      <c r="C32" s="3" t="s">
        <v>207</v>
      </c>
      <c r="D32" s="3" t="s">
        <v>238</v>
      </c>
      <c r="E32" s="3" t="s">
        <v>210</v>
      </c>
      <c r="F32" s="3" t="s">
        <v>208</v>
      </c>
      <c r="G32" s="3" t="s">
        <v>207</v>
      </c>
      <c r="H32" s="3"/>
      <c r="I32" s="3" t="b">
        <v>0</v>
      </c>
    </row>
    <row r="33" spans="1:9" x14ac:dyDescent="0.25">
      <c r="A33" s="3" t="s">
        <v>281</v>
      </c>
      <c r="B33" s="3" t="s">
        <v>282</v>
      </c>
      <c r="C33" s="3" t="s">
        <v>207</v>
      </c>
      <c r="D33" s="3" t="s">
        <v>238</v>
      </c>
      <c r="E33" s="3" t="s">
        <v>210</v>
      </c>
      <c r="F33" s="3" t="s">
        <v>208</v>
      </c>
      <c r="G33" s="3" t="s">
        <v>207</v>
      </c>
      <c r="H33" s="3"/>
      <c r="I33" s="3" t="b">
        <v>0</v>
      </c>
    </row>
    <row r="34" spans="1:9" x14ac:dyDescent="0.25">
      <c r="A34" s="3" t="s">
        <v>283</v>
      </c>
      <c r="B34" s="3" t="s">
        <v>284</v>
      </c>
      <c r="C34" s="3" t="s">
        <v>207</v>
      </c>
      <c r="D34" s="3" t="s">
        <v>238</v>
      </c>
      <c r="E34" s="3" t="s">
        <v>210</v>
      </c>
      <c r="F34" s="3" t="s">
        <v>208</v>
      </c>
      <c r="G34" s="3" t="s">
        <v>207</v>
      </c>
      <c r="H34" s="3"/>
      <c r="I34" s="3" t="b">
        <v>0</v>
      </c>
    </row>
    <row r="35" spans="1:9" x14ac:dyDescent="0.25">
      <c r="A35" s="3" t="s">
        <v>47</v>
      </c>
      <c r="B35" s="3" t="s">
        <v>285</v>
      </c>
      <c r="C35" s="3" t="s">
        <v>207</v>
      </c>
      <c r="D35" s="3" t="s">
        <v>238</v>
      </c>
      <c r="E35" s="3" t="s">
        <v>210</v>
      </c>
      <c r="F35" s="3" t="s">
        <v>260</v>
      </c>
      <c r="G35" s="3" t="s">
        <v>207</v>
      </c>
      <c r="H35" s="3"/>
      <c r="I35" s="3" t="b">
        <v>0</v>
      </c>
    </row>
    <row r="36" spans="1:9" x14ac:dyDescent="0.25">
      <c r="A36" s="3" t="s">
        <v>48</v>
      </c>
      <c r="B36" s="3" t="s">
        <v>286</v>
      </c>
      <c r="C36" s="3" t="s">
        <v>207</v>
      </c>
      <c r="D36" s="3" t="s">
        <v>238</v>
      </c>
      <c r="E36" s="3" t="s">
        <v>210</v>
      </c>
      <c r="F36" s="3" t="s">
        <v>260</v>
      </c>
      <c r="G36" s="3" t="s">
        <v>207</v>
      </c>
      <c r="H36" s="3"/>
      <c r="I36" s="3" t="b">
        <v>0</v>
      </c>
    </row>
    <row r="37" spans="1:9" x14ac:dyDescent="0.25">
      <c r="A37" s="3" t="s">
        <v>287</v>
      </c>
      <c r="B37" s="3" t="s">
        <v>288</v>
      </c>
      <c r="C37" s="3" t="s">
        <v>207</v>
      </c>
      <c r="D37" s="3" t="s">
        <v>238</v>
      </c>
      <c r="E37" s="3" t="s">
        <v>210</v>
      </c>
      <c r="F37" s="3" t="s">
        <v>208</v>
      </c>
      <c r="G37" s="3" t="s">
        <v>207</v>
      </c>
      <c r="H37" s="3"/>
      <c r="I37" s="3" t="b">
        <v>0</v>
      </c>
    </row>
    <row r="38" spans="1:9" x14ac:dyDescent="0.25">
      <c r="A38" s="3" t="s">
        <v>289</v>
      </c>
      <c r="B38" s="3" t="s">
        <v>290</v>
      </c>
      <c r="C38" s="3" t="s">
        <v>207</v>
      </c>
      <c r="D38" s="3" t="s">
        <v>238</v>
      </c>
      <c r="E38" s="3" t="s">
        <v>210</v>
      </c>
      <c r="F38" s="3" t="s">
        <v>208</v>
      </c>
      <c r="G38" s="3" t="s">
        <v>207</v>
      </c>
      <c r="H38" s="3"/>
      <c r="I38" s="3" t="b">
        <v>0</v>
      </c>
    </row>
    <row r="39" spans="1:9" x14ac:dyDescent="0.25">
      <c r="A39" s="3" t="s">
        <v>123</v>
      </c>
      <c r="B39" s="3" t="s">
        <v>291</v>
      </c>
      <c r="C39" s="3" t="s">
        <v>207</v>
      </c>
      <c r="D39" s="3" t="s">
        <v>238</v>
      </c>
      <c r="E39" s="3" t="s">
        <v>210</v>
      </c>
      <c r="F39" s="3" t="s">
        <v>208</v>
      </c>
      <c r="G39" s="3" t="s">
        <v>207</v>
      </c>
      <c r="H39" s="3"/>
      <c r="I39" s="3" t="b">
        <v>0</v>
      </c>
    </row>
    <row r="40" spans="1:9" x14ac:dyDescent="0.25">
      <c r="A40" s="3" t="s">
        <v>124</v>
      </c>
      <c r="B40" s="3" t="s">
        <v>292</v>
      </c>
      <c r="C40" s="3" t="s">
        <v>207</v>
      </c>
      <c r="D40" s="3" t="s">
        <v>238</v>
      </c>
      <c r="E40" s="3" t="s">
        <v>210</v>
      </c>
      <c r="F40" s="3" t="s">
        <v>208</v>
      </c>
      <c r="G40" s="3" t="s">
        <v>207</v>
      </c>
      <c r="H40" s="3"/>
      <c r="I40" s="3" t="b">
        <v>0</v>
      </c>
    </row>
    <row r="41" spans="1:9" x14ac:dyDescent="0.25">
      <c r="A41" s="3" t="s">
        <v>125</v>
      </c>
      <c r="B41" s="3" t="s">
        <v>293</v>
      </c>
      <c r="C41" s="3" t="s">
        <v>207</v>
      </c>
      <c r="D41" s="3" t="s">
        <v>238</v>
      </c>
      <c r="E41" s="3" t="s">
        <v>210</v>
      </c>
      <c r="F41" s="3" t="s">
        <v>208</v>
      </c>
      <c r="G41" s="3" t="s">
        <v>207</v>
      </c>
      <c r="H41" s="3"/>
      <c r="I41" s="3" t="b">
        <v>0</v>
      </c>
    </row>
    <row r="42" spans="1:9" x14ac:dyDescent="0.25">
      <c r="A42" s="3" t="s">
        <v>126</v>
      </c>
      <c r="B42" s="3" t="s">
        <v>294</v>
      </c>
      <c r="C42" s="3" t="s">
        <v>207</v>
      </c>
      <c r="D42" s="3" t="s">
        <v>238</v>
      </c>
      <c r="E42" s="3" t="s">
        <v>210</v>
      </c>
      <c r="F42" s="3" t="s">
        <v>208</v>
      </c>
      <c r="G42" s="3" t="s">
        <v>207</v>
      </c>
      <c r="H42" s="3"/>
      <c r="I42" s="3" t="b">
        <v>0</v>
      </c>
    </row>
    <row r="43" spans="1:9" x14ac:dyDescent="0.25">
      <c r="A43" s="3" t="s">
        <v>62</v>
      </c>
      <c r="B43" s="3" t="s">
        <v>295</v>
      </c>
      <c r="C43" s="3" t="s">
        <v>207</v>
      </c>
      <c r="D43" s="3" t="s">
        <v>238</v>
      </c>
      <c r="E43" s="3" t="s">
        <v>210</v>
      </c>
      <c r="F43" s="3" t="s">
        <v>208</v>
      </c>
      <c r="G43" s="3" t="s">
        <v>207</v>
      </c>
      <c r="H43" s="3"/>
      <c r="I43" s="3" t="b">
        <v>0</v>
      </c>
    </row>
    <row r="44" spans="1:9" x14ac:dyDescent="0.25">
      <c r="A44" s="3" t="s">
        <v>63</v>
      </c>
      <c r="B44" s="3" t="s">
        <v>296</v>
      </c>
      <c r="C44" s="3" t="s">
        <v>207</v>
      </c>
      <c r="D44" s="3" t="s">
        <v>238</v>
      </c>
      <c r="E44" s="3" t="s">
        <v>210</v>
      </c>
      <c r="F44" s="3" t="s">
        <v>208</v>
      </c>
      <c r="G44" s="3" t="s">
        <v>207</v>
      </c>
      <c r="H44" s="3"/>
      <c r="I44" s="3" t="b">
        <v>0</v>
      </c>
    </row>
    <row r="45" spans="1:9" x14ac:dyDescent="0.25">
      <c r="A45" s="3" t="s">
        <v>55</v>
      </c>
      <c r="B45" s="3" t="s">
        <v>297</v>
      </c>
      <c r="C45" s="3" t="s">
        <v>207</v>
      </c>
      <c r="D45" s="3" t="s">
        <v>238</v>
      </c>
      <c r="E45" s="3" t="s">
        <v>210</v>
      </c>
      <c r="F45" s="3" t="s">
        <v>208</v>
      </c>
      <c r="G45" s="3" t="s">
        <v>207</v>
      </c>
      <c r="H45" s="3"/>
      <c r="I45" s="3" t="b">
        <v>0</v>
      </c>
    </row>
    <row r="46" spans="1:9" x14ac:dyDescent="0.25">
      <c r="A46" s="3" t="s">
        <v>217</v>
      </c>
      <c r="B46" s="3" t="s">
        <v>218</v>
      </c>
      <c r="C46" s="3" t="s">
        <v>207</v>
      </c>
      <c r="D46" s="3" t="s">
        <v>207</v>
      </c>
      <c r="E46" s="3" t="s">
        <v>207</v>
      </c>
      <c r="F46" s="3" t="s">
        <v>207</v>
      </c>
      <c r="G46" s="3" t="s">
        <v>207</v>
      </c>
      <c r="H46" s="3"/>
      <c r="I46" s="3" t="b">
        <v>0</v>
      </c>
    </row>
    <row r="47" spans="1:9" x14ac:dyDescent="0.25">
      <c r="A47" s="3" t="s">
        <v>219</v>
      </c>
      <c r="B47" s="3" t="s">
        <v>220</v>
      </c>
      <c r="C47" s="3" t="s">
        <v>207</v>
      </c>
      <c r="D47" s="3" t="s">
        <v>207</v>
      </c>
      <c r="E47" s="3" t="s">
        <v>207</v>
      </c>
      <c r="F47" s="3" t="s">
        <v>207</v>
      </c>
      <c r="G47" s="3" t="s">
        <v>207</v>
      </c>
      <c r="H47" s="3"/>
      <c r="I47" s="3" t="b">
        <v>0</v>
      </c>
    </row>
    <row r="48" spans="1:9" x14ac:dyDescent="0.25">
      <c r="A48" s="3" t="s">
        <v>52</v>
      </c>
      <c r="B48" s="3" t="s">
        <v>298</v>
      </c>
      <c r="C48" s="3" t="s">
        <v>207</v>
      </c>
      <c r="D48" s="3" t="s">
        <v>238</v>
      </c>
      <c r="E48" s="3" t="s">
        <v>210</v>
      </c>
      <c r="F48" s="3" t="s">
        <v>208</v>
      </c>
      <c r="G48" s="3" t="s">
        <v>207</v>
      </c>
      <c r="H48" s="3"/>
      <c r="I48" s="3" t="b">
        <v>0</v>
      </c>
    </row>
    <row r="49" spans="1:9" x14ac:dyDescent="0.25">
      <c r="A49" s="3" t="s">
        <v>53</v>
      </c>
      <c r="B49" s="3" t="s">
        <v>299</v>
      </c>
      <c r="C49" s="3" t="s">
        <v>207</v>
      </c>
      <c r="D49" s="3" t="s">
        <v>238</v>
      </c>
      <c r="E49" s="3" t="s">
        <v>210</v>
      </c>
      <c r="F49" s="3" t="s">
        <v>208</v>
      </c>
      <c r="G49" s="3" t="s">
        <v>207</v>
      </c>
      <c r="H49" s="3"/>
      <c r="I49" s="3" t="b">
        <v>0</v>
      </c>
    </row>
    <row r="50" spans="1:9" x14ac:dyDescent="0.25">
      <c r="A50" s="3" t="s">
        <v>54</v>
      </c>
      <c r="B50" s="3" t="s">
        <v>300</v>
      </c>
      <c r="C50" s="3" t="s">
        <v>207</v>
      </c>
      <c r="D50" s="3" t="s">
        <v>238</v>
      </c>
      <c r="E50" s="3" t="s">
        <v>210</v>
      </c>
      <c r="F50" s="3" t="s">
        <v>208</v>
      </c>
      <c r="G50" s="3" t="s">
        <v>207</v>
      </c>
      <c r="H50" s="3"/>
      <c r="I50" s="3" t="b">
        <v>0</v>
      </c>
    </row>
    <row r="51" spans="1:9" x14ac:dyDescent="0.25">
      <c r="A51" s="3" t="s">
        <v>301</v>
      </c>
      <c r="B51" s="3" t="s">
        <v>302</v>
      </c>
      <c r="C51" s="3" t="s">
        <v>207</v>
      </c>
      <c r="D51" s="3" t="s">
        <v>238</v>
      </c>
      <c r="E51" s="3" t="s">
        <v>210</v>
      </c>
      <c r="F51" s="3" t="s">
        <v>208</v>
      </c>
      <c r="G51" s="3" t="s">
        <v>207</v>
      </c>
      <c r="H51" s="3"/>
      <c r="I51" s="3" t="b">
        <v>0</v>
      </c>
    </row>
    <row r="52" spans="1:9" x14ac:dyDescent="0.25">
      <c r="A52" s="3" t="s">
        <v>303</v>
      </c>
      <c r="B52" s="3" t="s">
        <v>304</v>
      </c>
      <c r="C52" s="3" t="s">
        <v>207</v>
      </c>
      <c r="D52" s="3" t="s">
        <v>238</v>
      </c>
      <c r="E52" s="3" t="s">
        <v>210</v>
      </c>
      <c r="F52" s="3" t="s">
        <v>260</v>
      </c>
      <c r="G52" s="3" t="s">
        <v>207</v>
      </c>
      <c r="H52" s="3"/>
      <c r="I52" s="3" t="b">
        <v>0</v>
      </c>
    </row>
    <row r="53" spans="1:9" x14ac:dyDescent="0.25">
      <c r="A53" s="3" t="s">
        <v>305</v>
      </c>
      <c r="B53" s="3" t="s">
        <v>306</v>
      </c>
      <c r="C53" s="3" t="s">
        <v>207</v>
      </c>
      <c r="D53" s="3" t="s">
        <v>238</v>
      </c>
      <c r="E53" s="3" t="s">
        <v>210</v>
      </c>
      <c r="F53" s="3" t="s">
        <v>208</v>
      </c>
      <c r="G53" s="3" t="s">
        <v>207</v>
      </c>
      <c r="H53" s="3"/>
      <c r="I53" s="3" t="b">
        <v>0</v>
      </c>
    </row>
    <row r="54" spans="1:9" x14ac:dyDescent="0.25">
      <c r="A54" s="3" t="s">
        <v>307</v>
      </c>
      <c r="B54" s="3" t="s">
        <v>308</v>
      </c>
      <c r="C54" s="3" t="s">
        <v>207</v>
      </c>
      <c r="D54" s="3" t="s">
        <v>238</v>
      </c>
      <c r="E54" s="3" t="s">
        <v>210</v>
      </c>
      <c r="F54" s="3" t="s">
        <v>208</v>
      </c>
      <c r="G54" s="3" t="s">
        <v>207</v>
      </c>
      <c r="H54" s="3"/>
      <c r="I54" s="3" t="b">
        <v>0</v>
      </c>
    </row>
    <row r="55" spans="1:9" x14ac:dyDescent="0.25">
      <c r="A55" s="3" t="s">
        <v>309</v>
      </c>
      <c r="B55" s="3" t="s">
        <v>310</v>
      </c>
      <c r="C55" s="3" t="s">
        <v>207</v>
      </c>
      <c r="D55" s="3" t="s">
        <v>238</v>
      </c>
      <c r="E55" s="3" t="s">
        <v>210</v>
      </c>
      <c r="F55" s="3" t="s">
        <v>208</v>
      </c>
      <c r="G55" s="3" t="s">
        <v>207</v>
      </c>
      <c r="H55" s="3"/>
      <c r="I55" s="3" t="b">
        <v>0</v>
      </c>
    </row>
    <row r="56" spans="1:9" x14ac:dyDescent="0.25">
      <c r="A56" s="3" t="s">
        <v>311</v>
      </c>
      <c r="B56" s="3" t="s">
        <v>312</v>
      </c>
      <c r="C56" s="3" t="s">
        <v>207</v>
      </c>
      <c r="D56" s="3" t="s">
        <v>238</v>
      </c>
      <c r="E56" s="3" t="s">
        <v>210</v>
      </c>
      <c r="F56" s="3" t="s">
        <v>208</v>
      </c>
      <c r="G56" s="3" t="s">
        <v>207</v>
      </c>
      <c r="H56" s="3"/>
      <c r="I56" s="3" t="b">
        <v>0</v>
      </c>
    </row>
    <row r="57" spans="1:9" x14ac:dyDescent="0.25">
      <c r="A57" s="3" t="s">
        <v>102</v>
      </c>
      <c r="B57" s="3" t="s">
        <v>313</v>
      </c>
      <c r="C57" s="3" t="s">
        <v>207</v>
      </c>
      <c r="D57" s="3" t="s">
        <v>238</v>
      </c>
      <c r="E57" s="3" t="s">
        <v>210</v>
      </c>
      <c r="F57" s="3" t="s">
        <v>260</v>
      </c>
      <c r="G57" s="3" t="s">
        <v>207</v>
      </c>
      <c r="H57" s="3"/>
      <c r="I57" s="3" t="b">
        <v>0</v>
      </c>
    </row>
    <row r="58" spans="1:9" x14ac:dyDescent="0.25">
      <c r="A58" s="3" t="s">
        <v>314</v>
      </c>
      <c r="B58" s="3" t="s">
        <v>315</v>
      </c>
      <c r="C58" s="3" t="s">
        <v>207</v>
      </c>
      <c r="D58" s="3" t="s">
        <v>238</v>
      </c>
      <c r="E58" s="3" t="s">
        <v>210</v>
      </c>
      <c r="F58" s="3" t="s">
        <v>260</v>
      </c>
      <c r="G58" s="3" t="s">
        <v>207</v>
      </c>
      <c r="H58" s="3"/>
      <c r="I58" s="3" t="b">
        <v>0</v>
      </c>
    </row>
    <row r="59" spans="1:9" x14ac:dyDescent="0.25">
      <c r="A59" s="3" t="s">
        <v>316</v>
      </c>
      <c r="B59" s="3" t="s">
        <v>317</v>
      </c>
      <c r="C59" s="3" t="s">
        <v>207</v>
      </c>
      <c r="D59" s="3" t="s">
        <v>238</v>
      </c>
      <c r="E59" s="3" t="s">
        <v>210</v>
      </c>
      <c r="F59" s="3" t="s">
        <v>208</v>
      </c>
      <c r="G59" s="3" t="s">
        <v>207</v>
      </c>
      <c r="H59" s="3"/>
      <c r="I59" s="3" t="b">
        <v>0</v>
      </c>
    </row>
    <row r="60" spans="1:9" x14ac:dyDescent="0.25">
      <c r="A60" s="3" t="s">
        <v>106</v>
      </c>
      <c r="B60" s="3" t="s">
        <v>318</v>
      </c>
      <c r="C60" s="3" t="s">
        <v>207</v>
      </c>
      <c r="D60" s="3" t="s">
        <v>238</v>
      </c>
      <c r="E60" s="3" t="s">
        <v>210</v>
      </c>
      <c r="F60" s="3" t="s">
        <v>208</v>
      </c>
      <c r="G60" s="3" t="s">
        <v>207</v>
      </c>
      <c r="H60" s="3"/>
      <c r="I60" s="3" t="b">
        <v>0</v>
      </c>
    </row>
    <row r="61" spans="1:9" x14ac:dyDescent="0.25">
      <c r="A61" s="3" t="s">
        <v>107</v>
      </c>
      <c r="B61" s="3" t="s">
        <v>319</v>
      </c>
      <c r="C61" s="3" t="s">
        <v>207</v>
      </c>
      <c r="D61" s="3" t="s">
        <v>238</v>
      </c>
      <c r="E61" s="3" t="s">
        <v>210</v>
      </c>
      <c r="F61" s="3" t="s">
        <v>208</v>
      </c>
      <c r="G61" s="3" t="s">
        <v>207</v>
      </c>
      <c r="H61" s="3"/>
      <c r="I61" s="3" t="b">
        <v>0</v>
      </c>
    </row>
    <row r="62" spans="1:9" x14ac:dyDescent="0.25">
      <c r="A62" s="3" t="s">
        <v>91</v>
      </c>
      <c r="B62" s="3" t="s">
        <v>320</v>
      </c>
      <c r="C62" s="3" t="s">
        <v>207</v>
      </c>
      <c r="D62" s="3" t="s">
        <v>238</v>
      </c>
      <c r="E62" s="3" t="s">
        <v>210</v>
      </c>
      <c r="F62" s="3" t="s">
        <v>208</v>
      </c>
      <c r="G62" s="3" t="s">
        <v>207</v>
      </c>
      <c r="H62" s="3"/>
      <c r="I62" s="3" t="b">
        <v>0</v>
      </c>
    </row>
    <row r="63" spans="1:9" x14ac:dyDescent="0.25">
      <c r="A63" s="3" t="s">
        <v>92</v>
      </c>
      <c r="B63" s="3" t="s">
        <v>321</v>
      </c>
      <c r="C63" s="3" t="s">
        <v>207</v>
      </c>
      <c r="D63" s="3" t="s">
        <v>238</v>
      </c>
      <c r="E63" s="3" t="s">
        <v>210</v>
      </c>
      <c r="F63" s="3" t="s">
        <v>208</v>
      </c>
      <c r="G63" s="3" t="s">
        <v>207</v>
      </c>
      <c r="H63" s="3"/>
      <c r="I63" s="3" t="b">
        <v>0</v>
      </c>
    </row>
    <row r="64" spans="1:9" x14ac:dyDescent="0.25">
      <c r="A64" s="3" t="s">
        <v>81</v>
      </c>
      <c r="B64" s="3" t="s">
        <v>322</v>
      </c>
      <c r="C64" s="3" t="s">
        <v>207</v>
      </c>
      <c r="D64" s="3" t="s">
        <v>238</v>
      </c>
      <c r="E64" s="3" t="s">
        <v>210</v>
      </c>
      <c r="F64" s="3" t="s">
        <v>208</v>
      </c>
      <c r="G64" s="3" t="s">
        <v>207</v>
      </c>
      <c r="H64" s="3"/>
      <c r="I64" s="3" t="b">
        <v>0</v>
      </c>
    </row>
    <row r="65" spans="1:9" x14ac:dyDescent="0.25">
      <c r="A65" s="3" t="s">
        <v>82</v>
      </c>
      <c r="B65" s="3" t="s">
        <v>323</v>
      </c>
      <c r="C65" s="3" t="s">
        <v>207</v>
      </c>
      <c r="D65" s="3" t="s">
        <v>238</v>
      </c>
      <c r="E65" s="3" t="s">
        <v>210</v>
      </c>
      <c r="F65" s="3" t="s">
        <v>208</v>
      </c>
      <c r="G65" s="3" t="s">
        <v>207</v>
      </c>
      <c r="H65" s="3"/>
      <c r="I65" s="3" t="b">
        <v>0</v>
      </c>
    </row>
    <row r="66" spans="1:9" x14ac:dyDescent="0.25">
      <c r="A66" s="3" t="s">
        <v>69</v>
      </c>
      <c r="B66" s="3" t="s">
        <v>324</v>
      </c>
      <c r="C66" s="3" t="s">
        <v>207</v>
      </c>
      <c r="D66" s="3" t="s">
        <v>238</v>
      </c>
      <c r="E66" s="3" t="s">
        <v>210</v>
      </c>
      <c r="F66" s="3" t="s">
        <v>208</v>
      </c>
      <c r="G66" s="3" t="s">
        <v>207</v>
      </c>
      <c r="H66" s="3"/>
      <c r="I66" s="3" t="b">
        <v>0</v>
      </c>
    </row>
    <row r="67" spans="1:9" x14ac:dyDescent="0.25">
      <c r="A67" s="3" t="s">
        <v>70</v>
      </c>
      <c r="B67" s="3" t="s">
        <v>325</v>
      </c>
      <c r="C67" s="3" t="s">
        <v>207</v>
      </c>
      <c r="D67" s="3" t="s">
        <v>238</v>
      </c>
      <c r="E67" s="3" t="s">
        <v>210</v>
      </c>
      <c r="F67" s="3" t="s">
        <v>208</v>
      </c>
      <c r="G67" s="3" t="s">
        <v>207</v>
      </c>
      <c r="H67" s="3"/>
      <c r="I67" s="3" t="b">
        <v>0</v>
      </c>
    </row>
    <row r="68" spans="1:9" x14ac:dyDescent="0.25">
      <c r="A68" s="3" t="s">
        <v>71</v>
      </c>
      <c r="B68" s="3" t="s">
        <v>326</v>
      </c>
      <c r="C68" s="3" t="s">
        <v>207</v>
      </c>
      <c r="D68" s="3" t="s">
        <v>238</v>
      </c>
      <c r="E68" s="3" t="s">
        <v>210</v>
      </c>
      <c r="F68" s="3" t="s">
        <v>208</v>
      </c>
      <c r="G68" s="3" t="s">
        <v>207</v>
      </c>
      <c r="H68" s="3"/>
      <c r="I68" s="3" t="b">
        <v>0</v>
      </c>
    </row>
    <row r="69" spans="1:9" x14ac:dyDescent="0.25">
      <c r="A69" s="3" t="s">
        <v>65</v>
      </c>
      <c r="B69" s="3" t="s">
        <v>327</v>
      </c>
      <c r="C69" s="3" t="s">
        <v>207</v>
      </c>
      <c r="D69" s="3" t="s">
        <v>238</v>
      </c>
      <c r="E69" s="3" t="s">
        <v>210</v>
      </c>
      <c r="F69" s="3" t="s">
        <v>208</v>
      </c>
      <c r="G69" s="3" t="s">
        <v>207</v>
      </c>
      <c r="H69" s="3"/>
      <c r="I69" s="3" t="b">
        <v>0</v>
      </c>
    </row>
    <row r="70" spans="1:9" x14ac:dyDescent="0.25">
      <c r="A70" s="3" t="s">
        <v>66</v>
      </c>
      <c r="B70" s="3" t="s">
        <v>328</v>
      </c>
      <c r="C70" s="3" t="s">
        <v>207</v>
      </c>
      <c r="D70" s="3" t="s">
        <v>238</v>
      </c>
      <c r="E70" s="3" t="s">
        <v>210</v>
      </c>
      <c r="F70" s="3" t="s">
        <v>208</v>
      </c>
      <c r="G70" s="3" t="s">
        <v>207</v>
      </c>
      <c r="H70" s="3"/>
      <c r="I70" s="3" t="b">
        <v>0</v>
      </c>
    </row>
    <row r="71" spans="1:9" x14ac:dyDescent="0.25">
      <c r="A71" s="3" t="s">
        <v>117</v>
      </c>
      <c r="B71" s="3" t="s">
        <v>329</v>
      </c>
      <c r="C71" s="3" t="s">
        <v>207</v>
      </c>
      <c r="D71" s="3" t="s">
        <v>238</v>
      </c>
      <c r="E71" s="3" t="s">
        <v>210</v>
      </c>
      <c r="F71" s="3" t="s">
        <v>208</v>
      </c>
      <c r="G71" s="3" t="s">
        <v>207</v>
      </c>
      <c r="H71" s="3"/>
      <c r="I71" s="3" t="b">
        <v>0</v>
      </c>
    </row>
    <row r="72" spans="1:9" x14ac:dyDescent="0.25">
      <c r="A72" s="3" t="s">
        <v>330</v>
      </c>
      <c r="B72" s="3" t="s">
        <v>331</v>
      </c>
      <c r="C72" s="3" t="s">
        <v>207</v>
      </c>
      <c r="D72" s="3" t="s">
        <v>238</v>
      </c>
      <c r="E72" s="3" t="s">
        <v>210</v>
      </c>
      <c r="F72" s="3" t="s">
        <v>260</v>
      </c>
      <c r="G72" s="3" t="s">
        <v>207</v>
      </c>
      <c r="H72" s="3"/>
      <c r="I72" s="3" t="b">
        <v>0</v>
      </c>
    </row>
    <row r="73" spans="1:9" x14ac:dyDescent="0.25">
      <c r="A73" s="3" t="s">
        <v>118</v>
      </c>
      <c r="B73" s="3" t="s">
        <v>332</v>
      </c>
      <c r="C73" s="3" t="s">
        <v>207</v>
      </c>
      <c r="D73" s="3" t="s">
        <v>238</v>
      </c>
      <c r="E73" s="3" t="s">
        <v>210</v>
      </c>
      <c r="F73" s="3" t="s">
        <v>208</v>
      </c>
      <c r="G73" s="3" t="s">
        <v>207</v>
      </c>
      <c r="H73" s="3"/>
      <c r="I73" s="3" t="b">
        <v>0</v>
      </c>
    </row>
    <row r="74" spans="1:9" x14ac:dyDescent="0.25">
      <c r="A74" s="3" t="s">
        <v>72</v>
      </c>
      <c r="B74" s="3" t="s">
        <v>333</v>
      </c>
      <c r="C74" s="3" t="s">
        <v>207</v>
      </c>
      <c r="D74" s="3" t="s">
        <v>238</v>
      </c>
      <c r="E74" s="3" t="s">
        <v>210</v>
      </c>
      <c r="F74" s="3" t="s">
        <v>208</v>
      </c>
      <c r="G74" s="3" t="s">
        <v>207</v>
      </c>
      <c r="H74" s="3"/>
      <c r="I74" s="3" t="b">
        <v>0</v>
      </c>
    </row>
    <row r="75" spans="1:9" x14ac:dyDescent="0.25">
      <c r="A75" s="3" t="s">
        <v>119</v>
      </c>
      <c r="B75" s="3" t="s">
        <v>334</v>
      </c>
      <c r="C75" s="3" t="s">
        <v>207</v>
      </c>
      <c r="D75" s="3" t="s">
        <v>238</v>
      </c>
      <c r="E75" s="3" t="s">
        <v>210</v>
      </c>
      <c r="F75" s="3" t="s">
        <v>208</v>
      </c>
      <c r="G75" s="3" t="s">
        <v>207</v>
      </c>
      <c r="H75" s="3"/>
      <c r="I75" s="3" t="b">
        <v>0</v>
      </c>
    </row>
    <row r="76" spans="1:9" x14ac:dyDescent="0.25">
      <c r="A76" s="3" t="s">
        <v>120</v>
      </c>
      <c r="B76" s="3" t="s">
        <v>335</v>
      </c>
      <c r="C76" s="3" t="s">
        <v>207</v>
      </c>
      <c r="D76" s="3" t="s">
        <v>238</v>
      </c>
      <c r="E76" s="3" t="s">
        <v>210</v>
      </c>
      <c r="F76" s="3" t="s">
        <v>208</v>
      </c>
      <c r="G76" s="3" t="s">
        <v>207</v>
      </c>
      <c r="H76" s="3"/>
      <c r="I76" s="3" t="b">
        <v>0</v>
      </c>
    </row>
    <row r="77" spans="1:9" x14ac:dyDescent="0.25">
      <c r="A77" s="3" t="s">
        <v>336</v>
      </c>
      <c r="B77" s="3" t="s">
        <v>337</v>
      </c>
      <c r="C77" s="3" t="s">
        <v>207</v>
      </c>
      <c r="D77" s="3" t="s">
        <v>238</v>
      </c>
      <c r="E77" s="3" t="s">
        <v>210</v>
      </c>
      <c r="F77" s="3" t="s">
        <v>207</v>
      </c>
      <c r="G77" s="3" t="s">
        <v>207</v>
      </c>
      <c r="H77" s="3"/>
      <c r="I77" s="3" t="b">
        <v>0</v>
      </c>
    </row>
    <row r="78" spans="1:9" x14ac:dyDescent="0.25">
      <c r="A78" s="3" t="s">
        <v>338</v>
      </c>
      <c r="B78" s="3" t="s">
        <v>339</v>
      </c>
      <c r="C78" s="3" t="s">
        <v>207</v>
      </c>
      <c r="D78" s="3" t="s">
        <v>238</v>
      </c>
      <c r="E78" s="3" t="s">
        <v>210</v>
      </c>
      <c r="F78" s="3" t="s">
        <v>208</v>
      </c>
      <c r="G78" s="3" t="s">
        <v>207</v>
      </c>
      <c r="H78" s="3"/>
      <c r="I78" s="3" t="b">
        <v>0</v>
      </c>
    </row>
    <row r="79" spans="1:9" x14ac:dyDescent="0.25">
      <c r="A79" s="3" t="s">
        <v>340</v>
      </c>
      <c r="B79" s="3" t="s">
        <v>341</v>
      </c>
      <c r="C79" s="3" t="s">
        <v>207</v>
      </c>
      <c r="D79" s="3" t="s">
        <v>238</v>
      </c>
      <c r="E79" s="3" t="s">
        <v>210</v>
      </c>
      <c r="F79" s="3" t="s">
        <v>208</v>
      </c>
      <c r="G79" s="3" t="s">
        <v>207</v>
      </c>
      <c r="H79" s="3"/>
      <c r="I79" s="3" t="b">
        <v>0</v>
      </c>
    </row>
    <row r="80" spans="1:9" x14ac:dyDescent="0.25">
      <c r="A80" s="3" t="s">
        <v>342</v>
      </c>
      <c r="B80" s="3" t="s">
        <v>343</v>
      </c>
      <c r="C80" s="3" t="s">
        <v>207</v>
      </c>
      <c r="D80" s="3" t="s">
        <v>238</v>
      </c>
      <c r="E80" s="3" t="s">
        <v>210</v>
      </c>
      <c r="F80" s="3" t="s">
        <v>208</v>
      </c>
      <c r="G80" s="3" t="s">
        <v>207</v>
      </c>
      <c r="H80" s="3"/>
      <c r="I80" s="3" t="b">
        <v>0</v>
      </c>
    </row>
    <row r="81" spans="1:9" x14ac:dyDescent="0.25">
      <c r="A81" s="3" t="s">
        <v>344</v>
      </c>
      <c r="B81" s="3" t="s">
        <v>345</v>
      </c>
      <c r="C81" s="3" t="s">
        <v>207</v>
      </c>
      <c r="D81" s="3" t="s">
        <v>238</v>
      </c>
      <c r="E81" s="3" t="s">
        <v>210</v>
      </c>
      <c r="F81" s="3" t="s">
        <v>260</v>
      </c>
      <c r="G81" s="3" t="s">
        <v>207</v>
      </c>
      <c r="H81" s="3"/>
      <c r="I81" s="3" t="b">
        <v>0</v>
      </c>
    </row>
    <row r="82" spans="1:9" x14ac:dyDescent="0.25">
      <c r="A82" s="3" t="s">
        <v>346</v>
      </c>
      <c r="B82" s="3" t="s">
        <v>347</v>
      </c>
      <c r="C82" s="3" t="s">
        <v>207</v>
      </c>
      <c r="D82" s="3" t="s">
        <v>238</v>
      </c>
      <c r="E82" s="3" t="s">
        <v>210</v>
      </c>
      <c r="F82" s="3" t="s">
        <v>260</v>
      </c>
      <c r="G82" s="3" t="s">
        <v>207</v>
      </c>
      <c r="H82" s="3"/>
      <c r="I82" s="3" t="b">
        <v>0</v>
      </c>
    </row>
    <row r="83" spans="1:9" x14ac:dyDescent="0.25">
      <c r="A83" s="3" t="s">
        <v>348</v>
      </c>
      <c r="B83" s="3" t="s">
        <v>349</v>
      </c>
      <c r="C83" s="3" t="s">
        <v>207</v>
      </c>
      <c r="D83" s="3" t="s">
        <v>238</v>
      </c>
      <c r="E83" s="3" t="s">
        <v>210</v>
      </c>
      <c r="F83" s="3" t="s">
        <v>260</v>
      </c>
      <c r="G83" s="3" t="s">
        <v>207</v>
      </c>
      <c r="H83" s="3"/>
      <c r="I83" s="3" t="b">
        <v>0</v>
      </c>
    </row>
    <row r="84" spans="1:9" x14ac:dyDescent="0.25">
      <c r="A84" s="3" t="s">
        <v>350</v>
      </c>
      <c r="B84" s="3" t="s">
        <v>351</v>
      </c>
      <c r="C84" s="3" t="s">
        <v>207</v>
      </c>
      <c r="D84" s="3" t="s">
        <v>238</v>
      </c>
      <c r="E84" s="3" t="s">
        <v>210</v>
      </c>
      <c r="F84" s="3" t="s">
        <v>208</v>
      </c>
      <c r="G84" s="3" t="s">
        <v>207</v>
      </c>
      <c r="H84" s="3"/>
      <c r="I84" s="3" t="b">
        <v>0</v>
      </c>
    </row>
    <row r="85" spans="1:9" x14ac:dyDescent="0.25">
      <c r="A85" s="3" t="s">
        <v>352</v>
      </c>
      <c r="B85" s="3" t="s">
        <v>353</v>
      </c>
      <c r="C85" s="3" t="s">
        <v>207</v>
      </c>
      <c r="D85" s="3" t="s">
        <v>238</v>
      </c>
      <c r="E85" s="3" t="s">
        <v>210</v>
      </c>
      <c r="F85" s="3" t="s">
        <v>208</v>
      </c>
      <c r="G85" s="3" t="s">
        <v>207</v>
      </c>
      <c r="H85" s="3"/>
      <c r="I85" s="3" t="b">
        <v>0</v>
      </c>
    </row>
    <row r="86" spans="1:9" x14ac:dyDescent="0.25">
      <c r="A86" s="3" t="s">
        <v>354</v>
      </c>
      <c r="B86" s="3" t="s">
        <v>355</v>
      </c>
      <c r="C86" s="3" t="s">
        <v>207</v>
      </c>
      <c r="D86" s="3" t="s">
        <v>238</v>
      </c>
      <c r="E86" s="3" t="s">
        <v>210</v>
      </c>
      <c r="F86" s="3" t="s">
        <v>208</v>
      </c>
      <c r="G86" s="3" t="s">
        <v>207</v>
      </c>
      <c r="H86" s="3"/>
      <c r="I86" s="3" t="b">
        <v>0</v>
      </c>
    </row>
    <row r="87" spans="1:9" x14ac:dyDescent="0.25">
      <c r="A87" s="3" t="s">
        <v>356</v>
      </c>
      <c r="B87" s="3" t="s">
        <v>357</v>
      </c>
      <c r="C87" s="3" t="s">
        <v>207</v>
      </c>
      <c r="D87" s="3" t="s">
        <v>238</v>
      </c>
      <c r="E87" s="3" t="s">
        <v>210</v>
      </c>
      <c r="F87" s="3" t="s">
        <v>207</v>
      </c>
      <c r="G87" s="3" t="s">
        <v>207</v>
      </c>
      <c r="H87" s="3"/>
      <c r="I87" s="3" t="b">
        <v>0</v>
      </c>
    </row>
    <row r="88" spans="1:9" x14ac:dyDescent="0.25">
      <c r="A88" s="3" t="s">
        <v>358</v>
      </c>
      <c r="B88" s="3" t="s">
        <v>359</v>
      </c>
      <c r="C88" s="3" t="s">
        <v>207</v>
      </c>
      <c r="D88" s="3" t="s">
        <v>238</v>
      </c>
      <c r="E88" s="3" t="s">
        <v>210</v>
      </c>
      <c r="F88" s="3" t="s">
        <v>208</v>
      </c>
      <c r="G88" s="3" t="s">
        <v>207</v>
      </c>
      <c r="H88" s="3"/>
      <c r="I88" s="3" t="b">
        <v>0</v>
      </c>
    </row>
    <row r="89" spans="1:9" x14ac:dyDescent="0.25">
      <c r="A89" s="3" t="s">
        <v>360</v>
      </c>
      <c r="B89" s="3" t="s">
        <v>361</v>
      </c>
      <c r="C89" s="3" t="s">
        <v>207</v>
      </c>
      <c r="D89" s="3" t="s">
        <v>238</v>
      </c>
      <c r="E89" s="3" t="s">
        <v>210</v>
      </c>
      <c r="F89" s="3" t="s">
        <v>208</v>
      </c>
      <c r="G89" s="3" t="s">
        <v>207</v>
      </c>
      <c r="H89" s="3"/>
      <c r="I89" s="3" t="b">
        <v>0</v>
      </c>
    </row>
    <row r="90" spans="1:9" x14ac:dyDescent="0.25">
      <c r="A90" s="3" t="s">
        <v>362</v>
      </c>
      <c r="B90" s="3" t="s">
        <v>363</v>
      </c>
      <c r="C90" s="3" t="s">
        <v>207</v>
      </c>
      <c r="D90" s="3" t="s">
        <v>238</v>
      </c>
      <c r="E90" s="3" t="s">
        <v>210</v>
      </c>
      <c r="F90" s="3" t="s">
        <v>208</v>
      </c>
      <c r="G90" s="3" t="s">
        <v>207</v>
      </c>
      <c r="H90" s="3"/>
      <c r="I90" s="3" t="b">
        <v>0</v>
      </c>
    </row>
    <row r="91" spans="1:9" x14ac:dyDescent="0.25">
      <c r="A91" s="3" t="s">
        <v>100</v>
      </c>
      <c r="B91" s="3" t="s">
        <v>398</v>
      </c>
      <c r="C91" s="3" t="s">
        <v>207</v>
      </c>
      <c r="D91" s="3" t="s">
        <v>397</v>
      </c>
      <c r="E91" s="3" t="s">
        <v>210</v>
      </c>
      <c r="F91" s="3" t="s">
        <v>208</v>
      </c>
      <c r="G91" s="3" t="s">
        <v>207</v>
      </c>
      <c r="H91" s="3"/>
      <c r="I91" s="3" t="b">
        <v>0</v>
      </c>
    </row>
    <row r="92" spans="1:9" x14ac:dyDescent="0.25">
      <c r="A92" s="3" t="s">
        <v>364</v>
      </c>
      <c r="B92" s="3" t="s">
        <v>365</v>
      </c>
      <c r="C92" s="3" t="s">
        <v>207</v>
      </c>
      <c r="D92" s="3" t="s">
        <v>238</v>
      </c>
      <c r="E92" s="3" t="s">
        <v>210</v>
      </c>
      <c r="F92" s="3" t="s">
        <v>208</v>
      </c>
      <c r="G92" s="3" t="s">
        <v>207</v>
      </c>
      <c r="H92" s="3"/>
      <c r="I92" s="3" t="b">
        <v>0</v>
      </c>
    </row>
    <row r="93" spans="1:9" x14ac:dyDescent="0.25">
      <c r="A93" s="3" t="s">
        <v>366</v>
      </c>
      <c r="B93" s="3" t="s">
        <v>367</v>
      </c>
      <c r="C93" s="3" t="s">
        <v>207</v>
      </c>
      <c r="D93" s="3" t="s">
        <v>238</v>
      </c>
      <c r="E93" s="3" t="s">
        <v>210</v>
      </c>
      <c r="F93" s="3" t="s">
        <v>208</v>
      </c>
      <c r="G93" s="3" t="s">
        <v>207</v>
      </c>
      <c r="H93" s="3"/>
      <c r="I93" s="3" t="b">
        <v>0</v>
      </c>
    </row>
    <row r="94" spans="1:9" x14ac:dyDescent="0.25">
      <c r="A94" s="3" t="s">
        <v>176</v>
      </c>
      <c r="B94" s="3" t="s">
        <v>368</v>
      </c>
      <c r="C94" s="3" t="s">
        <v>207</v>
      </c>
      <c r="D94" s="3" t="s">
        <v>238</v>
      </c>
      <c r="E94" s="3" t="s">
        <v>210</v>
      </c>
      <c r="F94" s="3" t="s">
        <v>260</v>
      </c>
      <c r="G94" s="3" t="s">
        <v>207</v>
      </c>
      <c r="H94" s="3"/>
      <c r="I94" s="3" t="b">
        <v>0</v>
      </c>
    </row>
    <row r="95" spans="1:9" x14ac:dyDescent="0.25">
      <c r="A95" s="3" t="s">
        <v>178</v>
      </c>
      <c r="B95" s="3" t="s">
        <v>207</v>
      </c>
      <c r="C95" s="3" t="s">
        <v>208</v>
      </c>
      <c r="D95" s="3" t="s">
        <v>209</v>
      </c>
      <c r="E95" s="3" t="s">
        <v>210</v>
      </c>
      <c r="F95" s="3" t="s">
        <v>208</v>
      </c>
      <c r="G95" s="3" t="s">
        <v>207</v>
      </c>
      <c r="H95" s="3"/>
      <c r="I95" s="3" t="b">
        <v>0</v>
      </c>
    </row>
    <row r="96" spans="1:9" x14ac:dyDescent="0.25">
      <c r="A96" s="3" t="s">
        <v>74</v>
      </c>
      <c r="B96" s="3" t="s">
        <v>369</v>
      </c>
      <c r="C96" s="3" t="s">
        <v>207</v>
      </c>
      <c r="D96" s="3" t="s">
        <v>238</v>
      </c>
      <c r="E96" s="3" t="s">
        <v>210</v>
      </c>
      <c r="F96" s="3" t="s">
        <v>208</v>
      </c>
      <c r="G96" s="3" t="s">
        <v>207</v>
      </c>
      <c r="H96" s="3"/>
      <c r="I96" s="3" t="b">
        <v>0</v>
      </c>
    </row>
    <row r="97" spans="1:9" x14ac:dyDescent="0.25">
      <c r="A97" s="3" t="s">
        <v>370</v>
      </c>
      <c r="B97" s="3" t="s">
        <v>371</v>
      </c>
      <c r="C97" s="3" t="s">
        <v>207</v>
      </c>
      <c r="D97" s="3" t="s">
        <v>238</v>
      </c>
      <c r="E97" s="3" t="s">
        <v>210</v>
      </c>
      <c r="F97" s="3" t="s">
        <v>208</v>
      </c>
      <c r="G97" s="3" t="s">
        <v>207</v>
      </c>
      <c r="H97" s="3"/>
      <c r="I97" s="3" t="b">
        <v>0</v>
      </c>
    </row>
    <row r="98" spans="1:9" x14ac:dyDescent="0.25">
      <c r="A98" s="3" t="s">
        <v>372</v>
      </c>
      <c r="B98" s="3" t="s">
        <v>373</v>
      </c>
      <c r="C98" s="3" t="s">
        <v>207</v>
      </c>
      <c r="D98" s="3" t="s">
        <v>238</v>
      </c>
      <c r="E98" s="3" t="s">
        <v>210</v>
      </c>
      <c r="F98" s="3" t="s">
        <v>208</v>
      </c>
      <c r="G98" s="3" t="s">
        <v>207</v>
      </c>
      <c r="H98" s="3"/>
      <c r="I98" s="3" t="b">
        <v>0</v>
      </c>
    </row>
    <row r="99" spans="1:9" x14ac:dyDescent="0.25">
      <c r="A99" s="3" t="s">
        <v>374</v>
      </c>
      <c r="B99" s="3" t="s">
        <v>375</v>
      </c>
      <c r="C99" s="3" t="s">
        <v>207</v>
      </c>
      <c r="D99" s="3" t="s">
        <v>238</v>
      </c>
      <c r="E99" s="3" t="s">
        <v>210</v>
      </c>
      <c r="F99" s="3" t="s">
        <v>208</v>
      </c>
      <c r="G99" s="3" t="s">
        <v>207</v>
      </c>
      <c r="H99" s="3"/>
      <c r="I99" s="3" t="b">
        <v>0</v>
      </c>
    </row>
    <row r="100" spans="1:9" x14ac:dyDescent="0.25">
      <c r="A100" s="3" t="s">
        <v>376</v>
      </c>
      <c r="B100" s="3" t="s">
        <v>377</v>
      </c>
      <c r="C100" s="3" t="s">
        <v>207</v>
      </c>
      <c r="D100" s="3" t="s">
        <v>238</v>
      </c>
      <c r="E100" s="3" t="s">
        <v>210</v>
      </c>
      <c r="F100" s="3" t="s">
        <v>208</v>
      </c>
      <c r="G100" s="3" t="s">
        <v>207</v>
      </c>
      <c r="H100" s="3"/>
      <c r="I100" s="3" t="b">
        <v>0</v>
      </c>
    </row>
    <row r="101" spans="1:9" x14ac:dyDescent="0.25">
      <c r="A101" s="3" t="s">
        <v>75</v>
      </c>
      <c r="B101" s="3" t="s">
        <v>378</v>
      </c>
      <c r="C101" s="3" t="s">
        <v>207</v>
      </c>
      <c r="D101" s="3" t="s">
        <v>238</v>
      </c>
      <c r="E101" s="3" t="s">
        <v>210</v>
      </c>
      <c r="F101" s="3" t="s">
        <v>208</v>
      </c>
      <c r="G101" s="3" t="s">
        <v>207</v>
      </c>
      <c r="H101" s="3"/>
      <c r="I101" s="3" t="b">
        <v>0</v>
      </c>
    </row>
    <row r="102" spans="1:9" x14ac:dyDescent="0.25">
      <c r="A102" s="3" t="s">
        <v>221</v>
      </c>
      <c r="B102" s="3" t="s">
        <v>222</v>
      </c>
      <c r="C102" s="3" t="s">
        <v>207</v>
      </c>
      <c r="D102" s="3" t="s">
        <v>207</v>
      </c>
      <c r="E102" s="3" t="s">
        <v>207</v>
      </c>
      <c r="F102" s="3" t="s">
        <v>207</v>
      </c>
      <c r="G102" s="3" t="s">
        <v>207</v>
      </c>
      <c r="H102" s="3"/>
      <c r="I102" s="3" t="b">
        <v>0</v>
      </c>
    </row>
    <row r="103" spans="1:9" x14ac:dyDescent="0.25">
      <c r="A103" s="3" t="s">
        <v>223</v>
      </c>
      <c r="B103" s="3" t="s">
        <v>224</v>
      </c>
      <c r="C103" s="3" t="s">
        <v>207</v>
      </c>
      <c r="D103" s="3" t="s">
        <v>207</v>
      </c>
      <c r="E103" s="3" t="s">
        <v>207</v>
      </c>
      <c r="F103" s="3" t="s">
        <v>207</v>
      </c>
      <c r="G103" s="3" t="s">
        <v>207</v>
      </c>
      <c r="H103" s="3"/>
      <c r="I103" s="3" t="b">
        <v>0</v>
      </c>
    </row>
    <row r="104" spans="1:9" x14ac:dyDescent="0.25">
      <c r="A104" s="3" t="s">
        <v>379</v>
      </c>
      <c r="B104" s="3" t="s">
        <v>380</v>
      </c>
      <c r="C104" s="3" t="s">
        <v>207</v>
      </c>
      <c r="D104" s="3" t="s">
        <v>238</v>
      </c>
      <c r="E104" s="3" t="s">
        <v>210</v>
      </c>
      <c r="F104" s="3" t="s">
        <v>260</v>
      </c>
      <c r="G104" s="3" t="s">
        <v>207</v>
      </c>
      <c r="H104" s="3"/>
      <c r="I104" s="3" t="b">
        <v>0</v>
      </c>
    </row>
    <row r="105" spans="1:9" x14ac:dyDescent="0.25">
      <c r="A105" s="3" t="s">
        <v>381</v>
      </c>
      <c r="B105" s="3" t="s">
        <v>382</v>
      </c>
      <c r="C105" s="3" t="s">
        <v>207</v>
      </c>
      <c r="D105" s="3" t="s">
        <v>238</v>
      </c>
      <c r="E105" s="3" t="s">
        <v>210</v>
      </c>
      <c r="F105" s="3" t="s">
        <v>208</v>
      </c>
      <c r="G105" s="3" t="s">
        <v>207</v>
      </c>
      <c r="H105" s="3"/>
      <c r="I105" s="3" t="b">
        <v>0</v>
      </c>
    </row>
    <row r="106" spans="1:9" x14ac:dyDescent="0.25">
      <c r="A106" s="3" t="s">
        <v>383</v>
      </c>
      <c r="B106" s="3" t="s">
        <v>384</v>
      </c>
      <c r="C106" s="3" t="s">
        <v>207</v>
      </c>
      <c r="D106" s="3" t="s">
        <v>238</v>
      </c>
      <c r="E106" s="3" t="s">
        <v>210</v>
      </c>
      <c r="F106" s="3" t="s">
        <v>208</v>
      </c>
      <c r="G106" s="3" t="s">
        <v>207</v>
      </c>
      <c r="H106" s="3"/>
      <c r="I106" s="3" t="b">
        <v>0</v>
      </c>
    </row>
    <row r="107" spans="1:9" x14ac:dyDescent="0.25">
      <c r="A107" s="3" t="s">
        <v>399</v>
      </c>
      <c r="B107" s="3" t="s">
        <v>400</v>
      </c>
      <c r="C107" s="3" t="s">
        <v>207</v>
      </c>
      <c r="D107" s="3" t="s">
        <v>397</v>
      </c>
      <c r="E107" s="3" t="s">
        <v>210</v>
      </c>
      <c r="F107" s="3" t="s">
        <v>208</v>
      </c>
      <c r="G107" s="3" t="s">
        <v>207</v>
      </c>
      <c r="H107" s="3"/>
      <c r="I107" s="3" t="b">
        <v>0</v>
      </c>
    </row>
    <row r="108" spans="1:9" x14ac:dyDescent="0.25">
      <c r="A108" s="3" t="s">
        <v>401</v>
      </c>
      <c r="B108" s="3" t="s">
        <v>402</v>
      </c>
      <c r="C108" s="3" t="s">
        <v>207</v>
      </c>
      <c r="D108" s="3" t="s">
        <v>397</v>
      </c>
      <c r="E108" s="3" t="s">
        <v>210</v>
      </c>
      <c r="F108" s="3" t="s">
        <v>208</v>
      </c>
      <c r="G108" s="3" t="s">
        <v>207</v>
      </c>
      <c r="H108" s="3"/>
      <c r="I108" s="3" t="b">
        <v>0</v>
      </c>
    </row>
    <row r="109" spans="1:9" x14ac:dyDescent="0.25">
      <c r="A109" s="3" t="s">
        <v>385</v>
      </c>
      <c r="B109" s="3" t="s">
        <v>386</v>
      </c>
      <c r="C109" s="3" t="s">
        <v>207</v>
      </c>
      <c r="D109" s="3" t="s">
        <v>238</v>
      </c>
      <c r="E109" s="3" t="s">
        <v>210</v>
      </c>
      <c r="F109" s="3" t="s">
        <v>208</v>
      </c>
      <c r="G109" s="3" t="s">
        <v>207</v>
      </c>
      <c r="H109" s="3"/>
      <c r="I109" s="3" t="b">
        <v>0</v>
      </c>
    </row>
    <row r="110" spans="1:9" x14ac:dyDescent="0.25">
      <c r="A110" s="3" t="s">
        <v>387</v>
      </c>
      <c r="B110" s="3" t="s">
        <v>388</v>
      </c>
      <c r="C110" s="3" t="s">
        <v>207</v>
      </c>
      <c r="D110" s="3" t="s">
        <v>238</v>
      </c>
      <c r="E110" s="3" t="s">
        <v>210</v>
      </c>
      <c r="F110" s="3" t="s">
        <v>208</v>
      </c>
      <c r="G110" s="3" t="s">
        <v>207</v>
      </c>
      <c r="H110" s="3"/>
      <c r="I110" s="3" t="b">
        <v>0</v>
      </c>
    </row>
    <row r="111" spans="1:9" x14ac:dyDescent="0.25">
      <c r="A111" s="3" t="s">
        <v>389</v>
      </c>
      <c r="B111" s="3" t="s">
        <v>390</v>
      </c>
      <c r="C111" s="3" t="s">
        <v>207</v>
      </c>
      <c r="D111" s="3" t="s">
        <v>238</v>
      </c>
      <c r="E111" s="3" t="s">
        <v>210</v>
      </c>
      <c r="F111" s="3" t="s">
        <v>208</v>
      </c>
      <c r="G111" s="3" t="s">
        <v>207</v>
      </c>
      <c r="H111" s="3"/>
      <c r="I111" s="3" t="b">
        <v>0</v>
      </c>
    </row>
    <row r="112" spans="1:9" x14ac:dyDescent="0.25">
      <c r="A112" s="3" t="s">
        <v>391</v>
      </c>
      <c r="B112" s="3" t="s">
        <v>392</v>
      </c>
      <c r="C112" s="3" t="s">
        <v>207</v>
      </c>
      <c r="D112" s="3" t="s">
        <v>238</v>
      </c>
      <c r="E112" s="3" t="s">
        <v>210</v>
      </c>
      <c r="F112" s="3" t="s">
        <v>208</v>
      </c>
      <c r="G112" s="3" t="s">
        <v>207</v>
      </c>
      <c r="H112" s="3"/>
      <c r="I112" s="3" t="b">
        <v>0</v>
      </c>
    </row>
    <row r="113" spans="1:9" x14ac:dyDescent="0.25">
      <c r="A113" s="3" t="s">
        <v>393</v>
      </c>
      <c r="B113" s="3" t="s">
        <v>394</v>
      </c>
      <c r="C113" s="3" t="s">
        <v>207</v>
      </c>
      <c r="D113" s="3" t="s">
        <v>238</v>
      </c>
      <c r="E113" s="3" t="s">
        <v>210</v>
      </c>
      <c r="F113" s="3" t="s">
        <v>208</v>
      </c>
      <c r="G113" s="3" t="s">
        <v>207</v>
      </c>
      <c r="H113" s="3"/>
      <c r="I113" s="3" t="b">
        <v>0</v>
      </c>
    </row>
    <row r="114" spans="1:9" x14ac:dyDescent="0.25">
      <c r="A114" s="3" t="s">
        <v>164</v>
      </c>
      <c r="B114" s="3" t="s">
        <v>166</v>
      </c>
      <c r="C114" s="3" t="s">
        <v>207</v>
      </c>
      <c r="D114" s="3" t="s">
        <v>234</v>
      </c>
      <c r="E114" s="3" t="s">
        <v>210</v>
      </c>
      <c r="F114" s="3" t="s">
        <v>207</v>
      </c>
      <c r="G114" s="3" t="s">
        <v>207</v>
      </c>
      <c r="H114" s="3" t="s">
        <v>163</v>
      </c>
      <c r="I114" s="3" t="b">
        <v>1</v>
      </c>
    </row>
    <row r="115" spans="1:9" x14ac:dyDescent="0.25">
      <c r="A115" s="3" t="s">
        <v>165</v>
      </c>
      <c r="B115" s="3" t="s">
        <v>167</v>
      </c>
      <c r="C115" s="3" t="s">
        <v>207</v>
      </c>
      <c r="D115" s="3" t="s">
        <v>234</v>
      </c>
      <c r="E115" s="3" t="s">
        <v>210</v>
      </c>
      <c r="F115" s="3" t="s">
        <v>207</v>
      </c>
      <c r="G115" s="3" t="s">
        <v>207</v>
      </c>
      <c r="H115" s="3" t="s">
        <v>446</v>
      </c>
      <c r="I115" s="3" t="b">
        <v>1</v>
      </c>
    </row>
    <row r="116" spans="1:9" x14ac:dyDescent="0.25">
      <c r="A116" s="3" t="s">
        <v>170</v>
      </c>
      <c r="B116" s="3" t="s">
        <v>168</v>
      </c>
      <c r="C116" s="3" t="s">
        <v>207</v>
      </c>
      <c r="D116" s="3" t="s">
        <v>234</v>
      </c>
      <c r="E116" s="3" t="s">
        <v>210</v>
      </c>
      <c r="F116" s="3" t="s">
        <v>207</v>
      </c>
      <c r="G116" s="3" t="s">
        <v>207</v>
      </c>
      <c r="H116" s="3" t="s">
        <v>445</v>
      </c>
      <c r="I116" s="3" t="b">
        <v>1</v>
      </c>
    </row>
    <row r="117" spans="1:9" x14ac:dyDescent="0.25">
      <c r="A117" s="3" t="s">
        <v>171</v>
      </c>
      <c r="B117" s="3" t="s">
        <v>169</v>
      </c>
      <c r="C117" s="3" t="s">
        <v>207</v>
      </c>
      <c r="D117" s="3" t="s">
        <v>234</v>
      </c>
      <c r="E117" s="3" t="s">
        <v>210</v>
      </c>
      <c r="F117" s="3" t="s">
        <v>207</v>
      </c>
      <c r="G117" s="3" t="s">
        <v>207</v>
      </c>
      <c r="H117" s="3" t="s">
        <v>447</v>
      </c>
      <c r="I117" s="3" t="b">
        <v>1</v>
      </c>
    </row>
    <row r="118" spans="1:9" x14ac:dyDescent="0.25">
      <c r="A118" s="3" t="s">
        <v>161</v>
      </c>
      <c r="B118" s="3" t="s">
        <v>207</v>
      </c>
      <c r="C118" s="3" t="s">
        <v>207</v>
      </c>
      <c r="D118" s="3" t="s">
        <v>225</v>
      </c>
      <c r="E118" s="3" t="s">
        <v>210</v>
      </c>
      <c r="F118" s="3" t="s">
        <v>207</v>
      </c>
      <c r="G118" s="3" t="s">
        <v>207</v>
      </c>
      <c r="H118" s="3" t="s">
        <v>160</v>
      </c>
      <c r="I118" s="3" t="b">
        <v>1</v>
      </c>
    </row>
    <row r="119" spans="1:9" x14ac:dyDescent="0.25">
      <c r="A119" s="3" t="s">
        <v>179</v>
      </c>
      <c r="B119" s="3" t="s">
        <v>207</v>
      </c>
      <c r="C119" s="3" t="s">
        <v>207</v>
      </c>
      <c r="D119" s="3" t="s">
        <v>225</v>
      </c>
      <c r="E119" s="3" t="s">
        <v>210</v>
      </c>
      <c r="F119" s="3" t="s">
        <v>207</v>
      </c>
      <c r="G119" s="3" t="s">
        <v>207</v>
      </c>
      <c r="H119" s="3" t="s">
        <v>444</v>
      </c>
      <c r="I119" s="3" t="b">
        <v>1</v>
      </c>
    </row>
    <row r="120" spans="1:9" x14ac:dyDescent="0.25">
      <c r="A120" s="3" t="s">
        <v>162</v>
      </c>
      <c r="B120" s="3" t="s">
        <v>207</v>
      </c>
      <c r="C120" s="3" t="s">
        <v>207</v>
      </c>
      <c r="D120" s="3" t="s">
        <v>225</v>
      </c>
      <c r="E120" s="3" t="s">
        <v>210</v>
      </c>
      <c r="F120" s="3" t="s">
        <v>207</v>
      </c>
      <c r="G120" s="3" t="s">
        <v>207</v>
      </c>
      <c r="H120" s="3" t="s">
        <v>226</v>
      </c>
      <c r="I120" s="3" t="b">
        <v>1</v>
      </c>
    </row>
    <row r="121" spans="1:9" x14ac:dyDescent="0.25">
      <c r="A121" s="3" t="s">
        <v>156</v>
      </c>
      <c r="B121" s="3" t="s">
        <v>207</v>
      </c>
      <c r="C121" s="3" t="s">
        <v>207</v>
      </c>
      <c r="D121" s="3" t="s">
        <v>225</v>
      </c>
      <c r="E121" s="3" t="s">
        <v>210</v>
      </c>
      <c r="F121" s="3" t="s">
        <v>207</v>
      </c>
      <c r="G121" s="3" t="s">
        <v>207</v>
      </c>
      <c r="H121" s="3" t="s">
        <v>227</v>
      </c>
      <c r="I121" s="3" t="b">
        <v>1</v>
      </c>
    </row>
    <row r="122" spans="1:9" x14ac:dyDescent="0.25">
      <c r="A122" s="3" t="s">
        <v>147</v>
      </c>
      <c r="B122" s="3" t="s">
        <v>207</v>
      </c>
      <c r="C122" s="3" t="s">
        <v>207</v>
      </c>
      <c r="D122" s="3" t="s">
        <v>228</v>
      </c>
      <c r="E122" s="3" t="s">
        <v>210</v>
      </c>
      <c r="F122" s="3" t="s">
        <v>207</v>
      </c>
      <c r="G122" s="3" t="s">
        <v>207</v>
      </c>
      <c r="H122" s="3" t="s">
        <v>229</v>
      </c>
      <c r="I122" s="3" t="b">
        <v>1</v>
      </c>
    </row>
    <row r="123" spans="1:9" x14ac:dyDescent="0.25">
      <c r="A123" s="3" t="s">
        <v>153</v>
      </c>
      <c r="B123" s="3" t="s">
        <v>207</v>
      </c>
      <c r="C123" s="3" t="s">
        <v>207</v>
      </c>
      <c r="D123" s="3" t="s">
        <v>228</v>
      </c>
      <c r="E123" s="3" t="s">
        <v>210</v>
      </c>
      <c r="F123" s="3" t="s">
        <v>207</v>
      </c>
      <c r="G123" s="3" t="s">
        <v>207</v>
      </c>
      <c r="H123" s="3" t="s">
        <v>231</v>
      </c>
      <c r="I123" s="3" t="b">
        <v>1</v>
      </c>
    </row>
    <row r="124" spans="1:9" x14ac:dyDescent="0.25">
      <c r="A124" s="3" t="s">
        <v>99</v>
      </c>
      <c r="B124" s="3" t="s">
        <v>207</v>
      </c>
      <c r="C124" s="3" t="s">
        <v>207</v>
      </c>
      <c r="D124" s="3" t="s">
        <v>228</v>
      </c>
      <c r="E124" s="3" t="s">
        <v>210</v>
      </c>
      <c r="F124" s="3" t="s">
        <v>207</v>
      </c>
      <c r="G124" s="3" t="s">
        <v>207</v>
      </c>
      <c r="H124" s="3" t="s">
        <v>230</v>
      </c>
      <c r="I124" s="3" t="b">
        <v>1</v>
      </c>
    </row>
    <row r="125" spans="1:9" x14ac:dyDescent="0.25">
      <c r="A125" s="3" t="s">
        <v>232</v>
      </c>
      <c r="B125" s="3" t="s">
        <v>207</v>
      </c>
      <c r="C125" s="3" t="s">
        <v>207</v>
      </c>
      <c r="D125" s="3" t="s">
        <v>228</v>
      </c>
      <c r="E125" s="3" t="s">
        <v>210</v>
      </c>
      <c r="F125" s="3" t="s">
        <v>207</v>
      </c>
      <c r="G125" s="3" t="s">
        <v>207</v>
      </c>
      <c r="H125" s="3" t="s">
        <v>233</v>
      </c>
      <c r="I125" s="3" t="b">
        <v>1</v>
      </c>
    </row>
    <row r="126" spans="1:9" x14ac:dyDescent="0.25">
      <c r="A126" s="3" t="s">
        <v>149</v>
      </c>
      <c r="B126" s="3" t="s">
        <v>207</v>
      </c>
      <c r="C126" s="3" t="s">
        <v>207</v>
      </c>
      <c r="D126" s="3" t="s">
        <v>225</v>
      </c>
      <c r="E126" s="3" t="s">
        <v>210</v>
      </c>
      <c r="F126" s="3" t="s">
        <v>207</v>
      </c>
      <c r="G126" s="3" t="s">
        <v>207</v>
      </c>
      <c r="H126" s="3" t="s">
        <v>516</v>
      </c>
      <c r="I126" s="3" t="b">
        <v>1</v>
      </c>
    </row>
    <row r="127" spans="1:9" x14ac:dyDescent="0.25">
      <c r="A127" s="3" t="s">
        <v>172</v>
      </c>
      <c r="B127" s="3" t="s">
        <v>207</v>
      </c>
      <c r="C127" s="3" t="s">
        <v>208</v>
      </c>
      <c r="D127" s="3" t="s">
        <v>209</v>
      </c>
      <c r="E127" s="3" t="s">
        <v>210</v>
      </c>
      <c r="F127" s="3" t="s">
        <v>208</v>
      </c>
      <c r="G127" s="3" t="s">
        <v>207</v>
      </c>
      <c r="H127" s="3" t="s">
        <v>182</v>
      </c>
      <c r="I127" s="3" t="b">
        <v>1</v>
      </c>
    </row>
    <row r="128" spans="1:9" x14ac:dyDescent="0.25">
      <c r="A128" s="3" t="s">
        <v>173</v>
      </c>
      <c r="B128" s="3" t="s">
        <v>207</v>
      </c>
      <c r="C128" s="3" t="s">
        <v>208</v>
      </c>
      <c r="D128" s="3" t="s">
        <v>209</v>
      </c>
      <c r="E128" s="3" t="s">
        <v>210</v>
      </c>
      <c r="F128" s="3" t="s">
        <v>208</v>
      </c>
      <c r="G128" s="3" t="s">
        <v>207</v>
      </c>
      <c r="H128" s="3" t="s">
        <v>183</v>
      </c>
      <c r="I128" s="3" t="b">
        <v>1</v>
      </c>
    </row>
    <row r="129" spans="1:9" x14ac:dyDescent="0.25">
      <c r="A129" s="3" t="s">
        <v>174</v>
      </c>
      <c r="B129" s="3" t="s">
        <v>207</v>
      </c>
      <c r="C129" s="3" t="s">
        <v>208</v>
      </c>
      <c r="D129" s="3" t="s">
        <v>209</v>
      </c>
      <c r="E129" s="3" t="s">
        <v>210</v>
      </c>
      <c r="F129" s="3" t="s">
        <v>208</v>
      </c>
      <c r="G129" s="3" t="s">
        <v>207</v>
      </c>
      <c r="H129" s="3" t="s">
        <v>184</v>
      </c>
      <c r="I129" s="3" t="b">
        <v>1</v>
      </c>
    </row>
    <row r="130" spans="1:9" x14ac:dyDescent="0.25">
      <c r="A130" s="3" t="s">
        <v>175</v>
      </c>
      <c r="B130" s="3" t="s">
        <v>207</v>
      </c>
      <c r="C130" s="3" t="s">
        <v>208</v>
      </c>
      <c r="D130" s="3" t="s">
        <v>209</v>
      </c>
      <c r="E130" s="3" t="s">
        <v>210</v>
      </c>
      <c r="F130" s="3" t="s">
        <v>208</v>
      </c>
      <c r="G130" s="3" t="s">
        <v>207</v>
      </c>
      <c r="H130" s="3" t="s">
        <v>185</v>
      </c>
      <c r="I130" s="3" t="b">
        <v>1</v>
      </c>
    </row>
    <row r="131" spans="1:9" x14ac:dyDescent="0.25">
      <c r="A131" s="3" t="s">
        <v>177</v>
      </c>
      <c r="B131" s="3" t="s">
        <v>207</v>
      </c>
      <c r="C131" s="3" t="s">
        <v>208</v>
      </c>
      <c r="D131" s="3" t="s">
        <v>209</v>
      </c>
      <c r="E131" s="3" t="s">
        <v>210</v>
      </c>
      <c r="F131" s="3" t="s">
        <v>208</v>
      </c>
      <c r="G131" s="3" t="s">
        <v>207</v>
      </c>
      <c r="H131" s="3" t="s">
        <v>186</v>
      </c>
      <c r="I131" s="3" t="b">
        <v>1</v>
      </c>
    </row>
    <row r="132" spans="1:9" x14ac:dyDescent="0.25">
      <c r="A132" s="3" t="s">
        <v>190</v>
      </c>
      <c r="B132" s="3" t="s">
        <v>207</v>
      </c>
      <c r="C132" s="3" t="s">
        <v>208</v>
      </c>
      <c r="D132" s="3" t="s">
        <v>209</v>
      </c>
      <c r="E132" s="3" t="s">
        <v>210</v>
      </c>
      <c r="F132" s="3" t="s">
        <v>208</v>
      </c>
      <c r="G132" s="3" t="s">
        <v>207</v>
      </c>
      <c r="H132" s="3" t="s">
        <v>188</v>
      </c>
      <c r="I132" s="3" t="b">
        <v>1</v>
      </c>
    </row>
    <row r="133" spans="1:9" x14ac:dyDescent="0.25">
      <c r="A133" s="3" t="s">
        <v>191</v>
      </c>
      <c r="B133" s="3" t="s">
        <v>207</v>
      </c>
      <c r="C133" s="3" t="s">
        <v>208</v>
      </c>
      <c r="D133" s="3" t="s">
        <v>209</v>
      </c>
      <c r="E133" s="3" t="s">
        <v>210</v>
      </c>
      <c r="F133" s="3" t="s">
        <v>208</v>
      </c>
      <c r="G133" s="3" t="s">
        <v>207</v>
      </c>
      <c r="H133" s="3" t="s">
        <v>189</v>
      </c>
      <c r="I133" s="3" t="b">
        <v>1</v>
      </c>
    </row>
  </sheetData>
  <autoFilter ref="A1:I133" xr:uid="{5E0D7FC5-7D5B-4EB8-ACE9-BD3157D0914C}">
    <sortState xmlns:xlrd2="http://schemas.microsoft.com/office/spreadsheetml/2017/richdata2" ref="A2:I133">
      <sortCondition ref="H1:H133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LQFP144</vt:lpstr>
      <vt:lpstr>LPFP176</vt:lpstr>
      <vt:lpstr>UFBGA176+25 Ports</vt:lpstr>
      <vt:lpstr>UFBFA176+25 Peripherals</vt:lpstr>
      <vt:lpstr>UFBGA176+25 GPIOs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Clifton</dc:creator>
  <cp:lastModifiedBy>Dominic Clifton</cp:lastModifiedBy>
  <dcterms:created xsi:type="dcterms:W3CDTF">2026-01-27T13:01:07Z</dcterms:created>
  <dcterms:modified xsi:type="dcterms:W3CDTF">2026-01-29T01:16:57Z</dcterms:modified>
</cp:coreProperties>
</file>