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Hydra\Documents\DipTrace\Projects\MakerPnPControl\"/>
    </mc:Choice>
  </mc:AlternateContent>
  <xr:revisionPtr revIDLastSave="0" documentId="13_ncr:1_{6DDE2440-27A9-41F0-8E58-604B7BB312D9}" xr6:coauthVersionLast="47" xr6:coauthVersionMax="47" xr10:uidLastSave="{00000000-0000-0000-0000-000000000000}"/>
  <bookViews>
    <workbookView xWindow="29865" yWindow="8985" windowWidth="25155" windowHeight="21300" xr2:uid="{5C73AB7E-0ECA-4E12-BEC9-2B5752DC5265}"/>
  </bookViews>
  <sheets>
    <sheet name="MakerPnPControl-core_variant1_c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205" i="1"/>
  <c r="B205" i="1"/>
  <c r="C204" i="1"/>
  <c r="B204" i="1"/>
  <c r="C203" i="1"/>
  <c r="B203" i="1"/>
  <c r="C202" i="1"/>
  <c r="B202" i="1"/>
  <c r="C201" i="1"/>
  <c r="B201" i="1"/>
  <c r="C200" i="1"/>
  <c r="B200" i="1"/>
  <c r="C199" i="1"/>
  <c r="B199" i="1"/>
  <c r="C198" i="1"/>
  <c r="B198" i="1"/>
  <c r="C197" i="1"/>
  <c r="B197" i="1"/>
  <c r="C196" i="1"/>
  <c r="B196" i="1"/>
  <c r="C195" i="1"/>
  <c r="B195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C174" i="1"/>
  <c r="B174" i="1"/>
  <c r="C173" i="1"/>
  <c r="B173" i="1"/>
  <c r="C172" i="1"/>
  <c r="B172" i="1"/>
  <c r="C171" i="1"/>
  <c r="B171" i="1"/>
  <c r="C170" i="1"/>
  <c r="B170" i="1"/>
  <c r="C169" i="1"/>
  <c r="B169" i="1"/>
  <c r="C168" i="1"/>
  <c r="B168" i="1"/>
  <c r="C167" i="1"/>
  <c r="B167" i="1"/>
  <c r="C166" i="1"/>
  <c r="B166" i="1"/>
  <c r="C165" i="1"/>
  <c r="B165" i="1"/>
  <c r="C164" i="1"/>
  <c r="B164" i="1"/>
  <c r="C163" i="1"/>
  <c r="B163" i="1"/>
  <c r="C162" i="1"/>
  <c r="B162" i="1"/>
  <c r="C161" i="1"/>
  <c r="B161" i="1"/>
  <c r="C160" i="1"/>
  <c r="B160" i="1"/>
  <c r="C159" i="1"/>
  <c r="B159" i="1"/>
  <c r="C158" i="1"/>
  <c r="B158" i="1"/>
  <c r="C157" i="1"/>
  <c r="B157" i="1"/>
  <c r="C156" i="1"/>
  <c r="B156" i="1"/>
  <c r="C155" i="1"/>
  <c r="B155" i="1"/>
  <c r="C154" i="1"/>
  <c r="B154" i="1"/>
  <c r="C153" i="1"/>
  <c r="B153" i="1"/>
  <c r="C152" i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  <c r="C126" i="1"/>
  <c r="B126" i="1"/>
  <c r="C125" i="1"/>
  <c r="B125" i="1"/>
  <c r="C124" i="1"/>
  <c r="B124" i="1"/>
  <c r="C123" i="1"/>
  <c r="B123" i="1"/>
  <c r="C122" i="1"/>
  <c r="B122" i="1"/>
  <c r="C121" i="1"/>
  <c r="B121" i="1"/>
  <c r="C120" i="1"/>
  <c r="B120" i="1"/>
  <c r="C119" i="1"/>
  <c r="B119" i="1"/>
  <c r="C118" i="1"/>
  <c r="B118" i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<sst xmlns="http://schemas.openxmlformats.org/spreadsheetml/2006/main" count="829" uniqueCount="285">
  <si>
    <t>RefDes</t>
  </si>
  <si>
    <t>Manufacturer</t>
  </si>
  <si>
    <t>Mpn</t>
  </si>
  <si>
    <t>Place</t>
  </si>
  <si>
    <t>PcbSide</t>
  </si>
  <si>
    <t>X</t>
  </si>
  <si>
    <t>Y</t>
  </si>
  <si>
    <t>Rotation</t>
  </si>
  <si>
    <t>C1</t>
  </si>
  <si>
    <t>Samsung Electro-Mechanics</t>
  </si>
  <si>
    <t>CL05B104KO5NNNC</t>
  </si>
  <si>
    <t>Top</t>
  </si>
  <si>
    <t>C2</t>
  </si>
  <si>
    <t>CL10A475KO8NNNC</t>
  </si>
  <si>
    <t>C3</t>
  </si>
  <si>
    <t>Murata Electronics</t>
  </si>
  <si>
    <t>GRM155R71H221KA01D</t>
  </si>
  <si>
    <t>C4</t>
  </si>
  <si>
    <t>CL21A226MAQNNNE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</si>
  <si>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</si>
  <si>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</si>
  <si>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</si>
  <si>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</si>
  <si>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</si>
  <si>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</si>
  <si>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</si>
  <si>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</si>
  <si>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</si>
  <si>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C101</t>
  </si>
  <si>
    <t>GRM155R61A475KEAAD</t>
  </si>
  <si>
    <t>C102</t>
  </si>
  <si>
    <t>CL10A106MA8NRNC</t>
  </si>
  <si>
    <t>Bottom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</si>
  <si>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</si>
  <si>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</si>
  <si>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</si>
  <si>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</si>
  <si>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</si>
  <si>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</si>
  <si>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</si>
  <si>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</si>
  <si>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</si>
  <si>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</si>
  <si>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</si>
  <si>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</si>
  <si>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</si>
  <si>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</si>
  <si>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</si>
  <si>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</si>
  <si>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</si>
  <si>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</si>
  <si>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</si>
  <si>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CL05A225KP5NSNC</t>
  </si>
  <si>
    <t>C122</t>
  </si>
  <si>
    <t>C123</t>
  </si>
  <si>
    <t>CL05A105KA5NQNC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</si>
  <si>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</si>
  <si>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</si>
  <si>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</si>
  <si>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</si>
  <si>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</si>
  <si>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</si>
  <si>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</si>
  <si>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</si>
  <si>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</si>
  <si>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</si>
  <si>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</si>
  <si>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</si>
  <si>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</si>
  <si>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</si>
  <si>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</si>
  <si>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</si>
  <si>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</si>
  <si>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</si>
  <si>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</si>
  <si>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</si>
  <si>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</si>
  <si>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</si>
  <si>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</si>
  <si>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</si>
  <si>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</si>
  <si>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</si>
  <si>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</si>
  <si>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</si>
  <si>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</si>
  <si>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</si>
  <si>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</si>
  <si>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</si>
  <si>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</si>
  <si>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</si>
  <si>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</si>
  <si>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</si>
  <si>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</si>
  <si>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C301</t>
  </si>
  <si>
    <t>C302</t>
  </si>
  <si>
    <t>C303</t>
  </si>
  <si>
    <t>C304</t>
  </si>
  <si>
    <t>C401</t>
  </si>
  <si>
    <t>C402</t>
  </si>
  <si>
    <t>C601</t>
  </si>
  <si>
    <t>C602</t>
  </si>
  <si>
    <t>C603</t>
  </si>
  <si>
    <t>C604</t>
  </si>
  <si>
    <t>D1</t>
  </si>
  <si>
    <t>Foshan NationStar Optoelectronics</t>
  </si>
  <si>
    <t>NCD0603B1</t>
  </si>
  <si>
    <t>D2</t>
  </si>
  <si>
    <t>D101</t>
  </si>
  <si>
    <t>NCD0603G1</t>
  </si>
  <si>
    <t>D102</t>
  </si>
  <si>
    <t>MDD(Microdiode Semiconductor)</t>
  </si>
  <si>
    <t>BAV21W</t>
  </si>
  <si>
    <t>D103</t>
  </si>
  <si>
    <t>NCD0603R5</t>
  </si>
  <si>
    <t>D104</t>
  </si>
  <si>
    <t>NCD0603O1</t>
  </si>
  <si>
    <t>D105</t>
  </si>
  <si>
    <t>NCD0603Y1</t>
  </si>
  <si>
    <t>D601</t>
  </si>
  <si>
    <t>D602</t>
  </si>
  <si>
    <t>J1</t>
  </si>
  <si>
    <t>G-Switch</t>
  </si>
  <si>
    <t>GT-A2501WVD-102SBT01</t>
  </si>
  <si>
    <t>J402</t>
  </si>
  <si>
    <t>Samtec</t>
  </si>
  <si>
    <t>FTSH-105-01-L-DV-K-P-TR</t>
  </si>
  <si>
    <t>J403</t>
  </si>
  <si>
    <t>HCTL</t>
  </si>
  <si>
    <t>PM127-2-11-S-4.3</t>
  </si>
  <si>
    <t>J404</t>
  </si>
  <si>
    <t>XKB Connection</t>
  </si>
  <si>
    <t>X0408WVS-100A-LPV01</t>
  </si>
  <si>
    <t>J405</t>
  </si>
  <si>
    <t>J406</t>
  </si>
  <si>
    <t>J407</t>
  </si>
  <si>
    <t>LCKELEC</t>
  </si>
  <si>
    <t>LCK-TF-027H37508-WLG</t>
  </si>
  <si>
    <t>J408</t>
  </si>
  <si>
    <t>J409</t>
  </si>
  <si>
    <t>J410</t>
  </si>
  <si>
    <t>PZ127-2-02-S</t>
  </si>
  <si>
    <t>J411</t>
  </si>
  <si>
    <t>J601</t>
  </si>
  <si>
    <t>SHOU HAN</t>
  </si>
  <si>
    <t>TYPE-C 16PLT-H10.0</t>
  </si>
  <si>
    <t>J602</t>
  </si>
  <si>
    <t>L1</t>
  </si>
  <si>
    <t>muRata</t>
  </si>
  <si>
    <t>DFE252012F-1R0M=P2</t>
  </si>
  <si>
    <t>L2</t>
  </si>
  <si>
    <t>L3</t>
  </si>
  <si>
    <t>L101</t>
  </si>
  <si>
    <t>Taiyo Yuden</t>
  </si>
  <si>
    <t>MCHK1608T2R2MKN</t>
  </si>
  <si>
    <t>R1</t>
  </si>
  <si>
    <t>UNI-ROYAL(Uniroyal Elec)</t>
  </si>
  <si>
    <t>HP06W2J0000T5E</t>
  </si>
  <si>
    <t>R2</t>
  </si>
  <si>
    <t>0402WGF2200TCE</t>
  </si>
  <si>
    <t>R3</t>
  </si>
  <si>
    <t>R4</t>
  </si>
  <si>
    <t>0402WGF1002TCE</t>
  </si>
  <si>
    <t>R5</t>
  </si>
  <si>
    <t>R6</t>
  </si>
  <si>
    <t>0402WGF4533TCE</t>
  </si>
  <si>
    <t>R7</t>
  </si>
  <si>
    <t>0402WGF1003TCE</t>
  </si>
  <si>
    <t>R8</t>
  </si>
  <si>
    <t>R9</t>
  </si>
  <si>
    <t>R10</t>
  </si>
  <si>
    <t>R11</t>
  </si>
  <si>
    <t>R12</t>
  </si>
  <si>
    <t>R13</t>
  </si>
  <si>
    <t>R14</t>
  </si>
  <si>
    <t>R101</t>
  </si>
  <si>
    <t>R102</t>
  </si>
  <si>
    <t>0402WGF0000TCE</t>
  </si>
  <si>
    <t>R103</t>
  </si>
  <si>
    <t>R104</t>
  </si>
  <si>
    <t>0402WGF470JTCE</t>
  </si>
  <si>
    <t>R105</t>
  </si>
  <si>
    <t>0402WGF3300TCE</t>
  </si>
  <si>
    <t>R106</t>
  </si>
  <si>
    <t>R107</t>
  </si>
  <si>
    <t>R108</t>
  </si>
  <si>
    <t>0603WAF1000T5E</t>
  </si>
  <si>
    <t>R109</t>
  </si>
  <si>
    <t>R110</t>
  </si>
  <si>
    <t>R111</t>
  </si>
  <si>
    <t>R112</t>
  </si>
  <si>
    <t>R113</t>
  </si>
  <si>
    <t>R114</t>
  </si>
  <si>
    <t>0603WAF100KT5E</t>
  </si>
  <si>
    <t>R115</t>
  </si>
  <si>
    <t>R116</t>
  </si>
  <si>
    <t>R117</t>
  </si>
  <si>
    <t>R118</t>
  </si>
  <si>
    <t>0402WGF330JTCE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</si>
  <si>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</si>
  <si>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</si>
  <si>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</si>
  <si>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</si>
  <si>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</si>
  <si>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</si>
  <si>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</si>
  <si>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</si>
  <si>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</si>
  <si>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</si>
  <si>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</si>
  <si>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</si>
  <si>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</si>
  <si>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</si>
  <si>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</si>
  <si>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</si>
  <si>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</si>
  <si>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</si>
  <si>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</si>
  <si>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</si>
  <si>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</si>
  <si>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R401</t>
  </si>
  <si>
    <t>R402</t>
  </si>
  <si>
    <t>R403</t>
  </si>
  <si>
    <t>YAGEO</t>
  </si>
  <si>
    <t>YC164-FR-072KL</t>
  </si>
  <si>
    <t>R404</t>
  </si>
  <si>
    <t>R405</t>
  </si>
  <si>
    <t>R406</t>
  </si>
  <si>
    <t>R407</t>
  </si>
  <si>
    <t>R408</t>
  </si>
  <si>
    <t>R409</t>
  </si>
  <si>
    <t>R601</t>
  </si>
  <si>
    <t>0402WGF5101TCE</t>
  </si>
  <si>
    <t>R602</t>
  </si>
  <si>
    <t>R603</t>
  </si>
  <si>
    <t>R604</t>
  </si>
  <si>
    <t>R605</t>
  </si>
  <si>
    <t>R606</t>
  </si>
  <si>
    <t>R607</t>
  </si>
  <si>
    <t>0402WGF4701TCE</t>
  </si>
  <si>
    <t>R608</t>
  </si>
  <si>
    <t>R609</t>
  </si>
  <si>
    <t>R610</t>
  </si>
  <si>
    <t>R611</t>
  </si>
  <si>
    <t>R612</t>
  </si>
  <si>
    <t>S401</t>
  </si>
  <si>
    <t>GT-TC031A-H020-L1N</t>
  </si>
  <si>
    <t>S402</t>
  </si>
  <si>
    <t>S403</t>
  </si>
  <si>
    <t>S404</t>
  </si>
  <si>
    <t>S405</t>
  </si>
  <si>
    <t>S406</t>
  </si>
  <si>
    <t>U1</t>
  </si>
  <si>
    <t>Texas Instruments</t>
  </si>
  <si>
    <t>TPS3820-50DBVR</t>
  </si>
  <si>
    <t>U2</t>
  </si>
  <si>
    <t>TPS62A02PDDCR</t>
  </si>
  <si>
    <t>U3</t>
  </si>
  <si>
    <t>U4</t>
  </si>
  <si>
    <t>U101</t>
  </si>
  <si>
    <t>ST</t>
  </si>
  <si>
    <t>STM32H725IGK6</t>
  </si>
  <si>
    <t>U102</t>
  </si>
  <si>
    <t>Lattice</t>
  </si>
  <si>
    <t>ICE40HX8K-CT256</t>
  </si>
  <si>
    <t>U103</t>
  </si>
  <si>
    <t>WINBOND</t>
  </si>
  <si>
    <t>W25Q16JVUXIQ</t>
  </si>
  <si>
    <t>U104</t>
  </si>
  <si>
    <t>Espressif Systems</t>
  </si>
  <si>
    <t>ESP32-C3-MINI-1-H4</t>
  </si>
  <si>
    <t>U301</t>
  </si>
  <si>
    <t>SN3257QDYYRQ1</t>
  </si>
  <si>
    <t>U302</t>
  </si>
  <si>
    <t>U303</t>
  </si>
  <si>
    <t>U304</t>
  </si>
  <si>
    <t>U601</t>
  </si>
  <si>
    <t>TMUXHS221NKGR</t>
  </si>
  <si>
    <t>U602</t>
  </si>
  <si>
    <t>Y101</t>
  </si>
  <si>
    <t>HCI</t>
  </si>
  <si>
    <t>8132H-50.000ML33DTL</t>
  </si>
  <si>
    <t>Designator</t>
  </si>
  <si>
    <t>Layer</t>
  </si>
  <si>
    <t>Mid X</t>
  </si>
  <si>
    <t>Mid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</si>
</sst>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3696-62BC-47FC-B107-AE6F13D0BC58}">
  <dimension ref="A1:E205"/>
  <sheetViews>
    <sheetView tabSelected="1" workbookViewId="0">
      <selection activeCell="A2" sqref="A2:XFD2"/>
    </sheetView>
  </sheetViews>
  <sheetFormatPr defaultRowHeight="15" x14ac:dyDescent="0.25"/>
  <cols>
    <col min="1" max="1" width="10.5703125" bestFit="1" customWidth="1"/>
    <col min="4" max="4" width="7.28515625" bestFit="1" customWidth="1"/>
    <col min="5" max="5" width="8.42578125" bestFit="1" customWidth="1"/>
  </cols>
  <sheetData>
    <row r="1" spans="1:5" x14ac:dyDescent="0.25">
      <c r="A1" t="s">
        <v>281</v>
      </c>
      <c r="B1" t="s">
        <v>283</v>
      </c>
      <c r="C1" t="s">
        <v>284</v>
      </c>
      <c r="D1" t="s">
        <v>282</v>
      </c>
      <c r="E1" t="s">
        <v>7</v>
      </c>
    </row>
    <row r="2" spans="1:5" x14ac:dyDescent="0.25">
      <c r="A2" t="str">
        <f>Sheet1!A2</f>
        <v>C1</v>
      </c>
      <c r="B2">
        <f>Sheet1!F2</f>
        <v>15.8</v>
      </c>
      <c r="C2">
        <f>Sheet1!G2</f>
        <v>37.700000000000003</v>
      </c>
      <c r="D2" t="str">
        <f>Sheet1!E2</f>
        <v>Top</v>
      </c>
      <c r="E2">
        <f>ROUND(Sheet1!H2,0)</f>
        <v>0</v>
      </c>
    </row>
    <row r="3" spans="1:5" x14ac:dyDescent="0.25">
      <c r="A3" t="str">
        <f>Sheet1!A3</f>
        <v>C2</v>
      </c>
      <c r="B3">
        <f>Sheet1!F3</f>
        <v>11.6</v>
      </c>
      <c r="C3">
        <f>Sheet1!G3</f>
        <v>29.7</v>
      </c>
      <c r="D3" t="str">
        <f>Sheet1!E3</f>
        <v>Top</v>
      </c>
      <c r="E3">
        <f>ROUND(Sheet1!H3,0)</f>
        <v>-90</v>
      </c>
    </row>
    <row r="4" spans="1:5" x14ac:dyDescent="0.25">
      <c r="A4" t="str">
        <f>Sheet1!A4</f>
        <v>C3</v>
      </c>
      <c r="B4">
        <f>Sheet1!F4</f>
        <v>14.1</v>
      </c>
      <c r="C4">
        <f>Sheet1!G4</f>
        <v>34.424999999999997</v>
      </c>
      <c r="D4" t="str">
        <f>Sheet1!E4</f>
        <v>Top</v>
      </c>
      <c r="E4">
        <f>ROUND(Sheet1!H4,0)</f>
        <v>180</v>
      </c>
    </row>
    <row r="5" spans="1:5" x14ac:dyDescent="0.25">
      <c r="A5" t="str">
        <f>Sheet1!A5</f>
        <v>C4</v>
      </c>
      <c r="B5">
        <f>Sheet1!F5</f>
        <v>17.3</v>
      </c>
      <c r="C5">
        <f>Sheet1!G5</f>
        <v>34.4</v>
      </c>
      <c r="D5" t="str">
        <f>Sheet1!E5</f>
        <v>Top</v>
      </c>
      <c r="E5">
        <f>ROUND(Sheet1!H5,0)</f>
        <v>180</v>
      </c>
    </row>
    <row r="6" spans="1:5" x14ac:dyDescent="0.25">
      <c r="A6" t="str">
        <f>Sheet1!A6</f>
        <v>C5</v>
      </c>
      <c r="B6">
        <f>Sheet1!F6</f>
        <v>17.3</v>
      </c>
      <c r="C6">
        <f>Sheet1!G6</f>
        <v>32.524999999999999</v>
      </c>
      <c r="D6" t="str">
        <f>Sheet1!E6</f>
        <v>Top</v>
      </c>
      <c r="E6">
        <f>ROUND(Sheet1!H6,0)</f>
        <v>180</v>
      </c>
    </row>
    <row r="7" spans="1:5" x14ac:dyDescent="0.25">
      <c r="A7" t="str">
        <f>Sheet1!A7</f>
        <v>C6</v>
      </c>
      <c r="B7">
        <f>Sheet1!F7</f>
        <v>11.6</v>
      </c>
      <c r="C7">
        <f>Sheet1!G7</f>
        <v>21.4</v>
      </c>
      <c r="D7" t="str">
        <f>Sheet1!E7</f>
        <v>Top</v>
      </c>
      <c r="E7">
        <f>ROUND(Sheet1!H7,0)</f>
        <v>-90</v>
      </c>
    </row>
    <row r="8" spans="1:5" x14ac:dyDescent="0.25">
      <c r="A8" t="str">
        <f>Sheet1!A8</f>
        <v>C7</v>
      </c>
      <c r="B8">
        <f>Sheet1!F8</f>
        <v>14.1</v>
      </c>
      <c r="C8">
        <f>Sheet1!G8</f>
        <v>26.15</v>
      </c>
      <c r="D8" t="str">
        <f>Sheet1!E8</f>
        <v>Top</v>
      </c>
      <c r="E8">
        <f>ROUND(Sheet1!H8,0)</f>
        <v>180</v>
      </c>
    </row>
    <row r="9" spans="1:5" x14ac:dyDescent="0.25">
      <c r="A9" t="str">
        <f>Sheet1!A9</f>
        <v>C8</v>
      </c>
      <c r="B9">
        <f>Sheet1!F9</f>
        <v>17.3</v>
      </c>
      <c r="C9">
        <f>Sheet1!G9</f>
        <v>24.225000000000001</v>
      </c>
      <c r="D9" t="str">
        <f>Sheet1!E9</f>
        <v>Top</v>
      </c>
      <c r="E9">
        <f>ROUND(Sheet1!H9,0)</f>
        <v>180</v>
      </c>
    </row>
    <row r="10" spans="1:5" x14ac:dyDescent="0.25">
      <c r="A10" t="str">
        <f>Sheet1!A10</f>
        <v>C9</v>
      </c>
      <c r="B10">
        <f>Sheet1!F10</f>
        <v>17.3</v>
      </c>
      <c r="C10">
        <f>Sheet1!G10</f>
        <v>26.1</v>
      </c>
      <c r="D10" t="str">
        <f>Sheet1!E10</f>
        <v>Top</v>
      </c>
      <c r="E10">
        <f>ROUND(Sheet1!H10,0)</f>
        <v>180</v>
      </c>
    </row>
    <row r="11" spans="1:5" x14ac:dyDescent="0.25">
      <c r="A11" t="str">
        <f>Sheet1!A11</f>
        <v>C10</v>
      </c>
      <c r="B11">
        <f>Sheet1!F11</f>
        <v>11.6</v>
      </c>
      <c r="C11">
        <f>Sheet1!G11</f>
        <v>13.1</v>
      </c>
      <c r="D11" t="str">
        <f>Sheet1!E11</f>
        <v>Top</v>
      </c>
      <c r="E11">
        <f>ROUND(Sheet1!H11,0)</f>
        <v>-90</v>
      </c>
    </row>
    <row r="12" spans="1:5" x14ac:dyDescent="0.25">
      <c r="A12" t="str">
        <f>Sheet1!A12</f>
        <v>C11</v>
      </c>
      <c r="B12">
        <f>Sheet1!F12</f>
        <v>14.1</v>
      </c>
      <c r="C12">
        <f>Sheet1!G12</f>
        <v>17.824999999999999</v>
      </c>
      <c r="D12" t="str">
        <f>Sheet1!E12</f>
        <v>Top</v>
      </c>
      <c r="E12">
        <f>ROUND(Sheet1!H12,0)</f>
        <v>180</v>
      </c>
    </row>
    <row r="13" spans="1:5" x14ac:dyDescent="0.25">
      <c r="A13" t="str">
        <f>Sheet1!A13</f>
        <v>C12</v>
      </c>
      <c r="B13">
        <f>Sheet1!F13</f>
        <v>17.3</v>
      </c>
      <c r="C13">
        <f>Sheet1!G13</f>
        <v>17.8</v>
      </c>
      <c r="D13" t="str">
        <f>Sheet1!E13</f>
        <v>Top</v>
      </c>
      <c r="E13">
        <f>ROUND(Sheet1!H13,0)</f>
        <v>180</v>
      </c>
    </row>
    <row r="14" spans="1:5" x14ac:dyDescent="0.25">
      <c r="A14" t="str">
        <f>Sheet1!A14</f>
        <v>C13</v>
      </c>
      <c r="B14">
        <f>Sheet1!F14</f>
        <v>17.3</v>
      </c>
      <c r="C14">
        <f>Sheet1!G14</f>
        <v>15.925000000000001</v>
      </c>
      <c r="D14" t="str">
        <f>Sheet1!E14</f>
        <v>Top</v>
      </c>
      <c r="E14">
        <f>ROUND(Sheet1!H14,0)</f>
        <v>180</v>
      </c>
    </row>
    <row r="15" spans="1:5" x14ac:dyDescent="0.25">
      <c r="A15" t="str">
        <f>Sheet1!A15</f>
        <v>C101</v>
      </c>
      <c r="B15">
        <f>Sheet1!F15</f>
        <v>49.6</v>
      </c>
      <c r="C15">
        <f>Sheet1!G15</f>
        <v>48.55</v>
      </c>
      <c r="D15" t="str">
        <f>Sheet1!E15</f>
        <v>Top</v>
      </c>
      <c r="E15">
        <f>ROUND(Sheet1!H15,0)</f>
        <v>90</v>
      </c>
    </row>
    <row r="16" spans="1:5" x14ac:dyDescent="0.25">
      <c r="A16" t="str">
        <f>Sheet1!A16</f>
        <v>C102</v>
      </c>
      <c r="B16">
        <f>Sheet1!F16</f>
        <v>50.35</v>
      </c>
      <c r="C16">
        <f>Sheet1!G16</f>
        <v>45.15</v>
      </c>
      <c r="D16" t="str">
        <f>Sheet1!E16</f>
        <v>Bottom</v>
      </c>
      <c r="E16">
        <f>ROUND(Sheet1!H16,0)</f>
        <v>180</v>
      </c>
    </row>
    <row r="17" spans="1:5" x14ac:dyDescent="0.25">
      <c r="A17" t="str">
        <f>Sheet1!A17</f>
        <v>C103</v>
      </c>
      <c r="B17">
        <f>Sheet1!F17</f>
        <v>50.35</v>
      </c>
      <c r="C17">
        <f>Sheet1!G17</f>
        <v>46.6</v>
      </c>
      <c r="D17" t="str">
        <f>Sheet1!E17</f>
        <v>Bottom</v>
      </c>
      <c r="E17">
        <f>ROUND(Sheet1!H17,0)</f>
        <v>180</v>
      </c>
    </row>
    <row r="18" spans="1:5" x14ac:dyDescent="0.25">
      <c r="A18" t="str">
        <f>Sheet1!A18</f>
        <v>C104</v>
      </c>
      <c r="B18">
        <f>Sheet1!F18</f>
        <v>50.35</v>
      </c>
      <c r="C18">
        <f>Sheet1!G18</f>
        <v>52.174999999999997</v>
      </c>
      <c r="D18" t="str">
        <f>Sheet1!E18</f>
        <v>Bottom</v>
      </c>
      <c r="E18">
        <f>ROUND(Sheet1!H18,0)</f>
        <v>180</v>
      </c>
    </row>
    <row r="19" spans="1:5" x14ac:dyDescent="0.25">
      <c r="A19" t="str">
        <f>Sheet1!A19</f>
        <v>C105</v>
      </c>
      <c r="B19">
        <f>Sheet1!F19</f>
        <v>55.725000000000001</v>
      </c>
      <c r="C19">
        <f>Sheet1!G19</f>
        <v>52.924999999999997</v>
      </c>
      <c r="D19" t="str">
        <f>Sheet1!E19</f>
        <v>Bottom</v>
      </c>
      <c r="E19">
        <f>ROUND(Sheet1!H19,0)</f>
        <v>0</v>
      </c>
    </row>
    <row r="20" spans="1:5" x14ac:dyDescent="0.25">
      <c r="A20" t="str">
        <f>Sheet1!A20</f>
        <v>C106</v>
      </c>
      <c r="B20">
        <f>Sheet1!F20</f>
        <v>55.05</v>
      </c>
      <c r="C20">
        <f>Sheet1!G20</f>
        <v>50.975000000000001</v>
      </c>
      <c r="D20" t="str">
        <f>Sheet1!E20</f>
        <v>Bottom</v>
      </c>
      <c r="E20">
        <f>ROUND(Sheet1!H20,0)</f>
        <v>0</v>
      </c>
    </row>
    <row r="21" spans="1:5" x14ac:dyDescent="0.25">
      <c r="A21" t="str">
        <f>Sheet1!A21</f>
        <v>C107</v>
      </c>
      <c r="B21">
        <f>Sheet1!F21</f>
        <v>59.975000000000001</v>
      </c>
      <c r="C21">
        <f>Sheet1!G21</f>
        <v>47.725000000000001</v>
      </c>
      <c r="D21" t="str">
        <f>Sheet1!E21</f>
        <v>Bottom</v>
      </c>
      <c r="E21">
        <f>ROUND(Sheet1!H21,0)</f>
        <v>180</v>
      </c>
    </row>
    <row r="22" spans="1:5" x14ac:dyDescent="0.25">
      <c r="A22" t="str">
        <f>Sheet1!A22</f>
        <v>C108</v>
      </c>
      <c r="B22">
        <f>Sheet1!F22</f>
        <v>61.575000000000003</v>
      </c>
      <c r="C22">
        <f>Sheet1!G22</f>
        <v>50.975000000000001</v>
      </c>
      <c r="D22" t="str">
        <f>Sheet1!E22</f>
        <v>Bottom</v>
      </c>
      <c r="E22">
        <f>ROUND(Sheet1!H22,0)</f>
        <v>0</v>
      </c>
    </row>
    <row r="23" spans="1:5" x14ac:dyDescent="0.25">
      <c r="A23" t="str">
        <f>Sheet1!A23</f>
        <v>C109</v>
      </c>
      <c r="B23">
        <f>Sheet1!F23</f>
        <v>55.875</v>
      </c>
      <c r="C23">
        <f>Sheet1!G23</f>
        <v>47.575000000000003</v>
      </c>
      <c r="D23" t="str">
        <f>Sheet1!E23</f>
        <v>Bottom</v>
      </c>
      <c r="E23">
        <f>ROUND(Sheet1!H23,0)</f>
        <v>90</v>
      </c>
    </row>
    <row r="24" spans="1:5" x14ac:dyDescent="0.25">
      <c r="A24" t="str">
        <f>Sheet1!A24</f>
        <v>C110</v>
      </c>
      <c r="B24">
        <f>Sheet1!F24</f>
        <v>58.475000000000001</v>
      </c>
      <c r="C24">
        <f>Sheet1!G24</f>
        <v>47.575000000000003</v>
      </c>
      <c r="D24" t="str">
        <f>Sheet1!E24</f>
        <v>Bottom</v>
      </c>
      <c r="E24">
        <f>ROUND(Sheet1!H24,0)</f>
        <v>90</v>
      </c>
    </row>
    <row r="25" spans="1:5" x14ac:dyDescent="0.25">
      <c r="A25" t="str">
        <f>Sheet1!A25</f>
        <v>C111</v>
      </c>
      <c r="B25">
        <f>Sheet1!F25</f>
        <v>50.35</v>
      </c>
      <c r="C25">
        <f>Sheet1!G25</f>
        <v>48.05</v>
      </c>
      <c r="D25" t="str">
        <f>Sheet1!E25</f>
        <v>Bottom</v>
      </c>
      <c r="E25">
        <f>ROUND(Sheet1!H25,0)</f>
        <v>180</v>
      </c>
    </row>
    <row r="26" spans="1:5" x14ac:dyDescent="0.25">
      <c r="A26" t="str">
        <f>Sheet1!A26</f>
        <v>C112</v>
      </c>
      <c r="B26">
        <f>Sheet1!F26</f>
        <v>53.924999999999997</v>
      </c>
      <c r="C26">
        <f>Sheet1!G26</f>
        <v>54.25</v>
      </c>
      <c r="D26" t="str">
        <f>Sheet1!E26</f>
        <v>Bottom</v>
      </c>
      <c r="E26">
        <f>ROUND(Sheet1!H26,0)</f>
        <v>180</v>
      </c>
    </row>
    <row r="27" spans="1:5" x14ac:dyDescent="0.25">
      <c r="A27" t="str">
        <f>Sheet1!A27</f>
        <v>C113</v>
      </c>
      <c r="B27">
        <f>Sheet1!F27</f>
        <v>50.35</v>
      </c>
      <c r="C27">
        <f>Sheet1!G27</f>
        <v>49.5</v>
      </c>
      <c r="D27" t="str">
        <f>Sheet1!E27</f>
        <v>Bottom</v>
      </c>
      <c r="E27">
        <f>ROUND(Sheet1!H27,0)</f>
        <v>180</v>
      </c>
    </row>
    <row r="28" spans="1:5" x14ac:dyDescent="0.25">
      <c r="A28" t="str">
        <f>Sheet1!A28</f>
        <v>C114</v>
      </c>
      <c r="B28">
        <f>Sheet1!F28</f>
        <v>55.725000000000001</v>
      </c>
      <c r="C28">
        <f>Sheet1!G28</f>
        <v>51.924999999999997</v>
      </c>
      <c r="D28" t="str">
        <f>Sheet1!E28</f>
        <v>Bottom</v>
      </c>
      <c r="E28">
        <f>ROUND(Sheet1!H28,0)</f>
        <v>0</v>
      </c>
    </row>
    <row r="29" spans="1:5" x14ac:dyDescent="0.25">
      <c r="A29" t="str">
        <f>Sheet1!A29</f>
        <v>C115</v>
      </c>
      <c r="B29">
        <f>Sheet1!F29</f>
        <v>59.75</v>
      </c>
      <c r="C29">
        <f>Sheet1!G29</f>
        <v>50.875</v>
      </c>
      <c r="D29" t="str">
        <f>Sheet1!E29</f>
        <v>Bottom</v>
      </c>
      <c r="E29">
        <f>ROUND(Sheet1!H29,0)</f>
        <v>-90</v>
      </c>
    </row>
    <row r="30" spans="1:5" x14ac:dyDescent="0.25">
      <c r="A30" t="str">
        <f>Sheet1!A30</f>
        <v>C116</v>
      </c>
      <c r="B30">
        <f>Sheet1!F30</f>
        <v>49.6</v>
      </c>
      <c r="C30">
        <f>Sheet1!G30</f>
        <v>51.2</v>
      </c>
      <c r="D30" t="str">
        <f>Sheet1!E30</f>
        <v>Top</v>
      </c>
      <c r="E30">
        <f>ROUND(Sheet1!H30,0)</f>
        <v>-90</v>
      </c>
    </row>
    <row r="31" spans="1:5" x14ac:dyDescent="0.25">
      <c r="A31" t="str">
        <f>Sheet1!A31</f>
        <v>C117</v>
      </c>
      <c r="B31">
        <f>Sheet1!F31</f>
        <v>59.25</v>
      </c>
      <c r="C31">
        <f>Sheet1!G31</f>
        <v>52.2</v>
      </c>
      <c r="D31" t="str">
        <f>Sheet1!E31</f>
        <v>Bottom</v>
      </c>
      <c r="E31">
        <f>ROUND(Sheet1!H31,0)</f>
        <v>180</v>
      </c>
    </row>
    <row r="32" spans="1:5" x14ac:dyDescent="0.25">
      <c r="A32" t="str">
        <f>Sheet1!A32</f>
        <v>C118</v>
      </c>
      <c r="B32">
        <f>Sheet1!F32</f>
        <v>50.35</v>
      </c>
      <c r="C32">
        <f>Sheet1!G32</f>
        <v>50.975000000000001</v>
      </c>
      <c r="D32" t="str">
        <f>Sheet1!E32</f>
        <v>Bottom</v>
      </c>
      <c r="E32">
        <f>ROUND(Sheet1!H32,0)</f>
        <v>180</v>
      </c>
    </row>
    <row r="33" spans="1:5" x14ac:dyDescent="0.25">
      <c r="A33" t="str">
        <f>Sheet1!A33</f>
        <v>C119</v>
      </c>
      <c r="B33">
        <f>Sheet1!F33</f>
        <v>59.75</v>
      </c>
      <c r="C33">
        <f>Sheet1!G33</f>
        <v>49.024999999999999</v>
      </c>
      <c r="D33" t="str">
        <f>Sheet1!E33</f>
        <v>Bottom</v>
      </c>
      <c r="E33">
        <f>ROUND(Sheet1!H33,0)</f>
        <v>-90</v>
      </c>
    </row>
    <row r="34" spans="1:5" x14ac:dyDescent="0.25">
      <c r="A34" t="str">
        <f>Sheet1!A34</f>
        <v>C120</v>
      </c>
      <c r="B34">
        <f>Sheet1!F34</f>
        <v>62.15</v>
      </c>
      <c r="C34">
        <f>Sheet1!G34</f>
        <v>54.875</v>
      </c>
      <c r="D34" t="str">
        <f>Sheet1!E34</f>
        <v>Bottom</v>
      </c>
      <c r="E34">
        <f>ROUND(Sheet1!H34,0)</f>
        <v>0</v>
      </c>
    </row>
    <row r="35" spans="1:5" x14ac:dyDescent="0.25">
      <c r="A35" t="str">
        <f>Sheet1!A35</f>
        <v>C121</v>
      </c>
      <c r="B35">
        <f>Sheet1!F35</f>
        <v>53.924999999999997</v>
      </c>
      <c r="C35">
        <f>Sheet1!G35</f>
        <v>55.174999999999997</v>
      </c>
      <c r="D35" t="str">
        <f>Sheet1!E35</f>
        <v>Bottom</v>
      </c>
      <c r="E35">
        <f>ROUND(Sheet1!H35,0)</f>
        <v>-180</v>
      </c>
    </row>
    <row r="36" spans="1:5" x14ac:dyDescent="0.25">
      <c r="A36" t="str">
        <f>Sheet1!A36</f>
        <v>C122</v>
      </c>
      <c r="B36">
        <f>Sheet1!F36</f>
        <v>62.225000000000001</v>
      </c>
      <c r="C36">
        <f>Sheet1!G36</f>
        <v>43.424999999999997</v>
      </c>
      <c r="D36" t="str">
        <f>Sheet1!E36</f>
        <v>Bottom</v>
      </c>
      <c r="E36">
        <f>ROUND(Sheet1!H36,0)</f>
        <v>0</v>
      </c>
    </row>
    <row r="37" spans="1:5" x14ac:dyDescent="0.25">
      <c r="A37" t="str">
        <f>Sheet1!A37</f>
        <v>C123</v>
      </c>
      <c r="B37">
        <f>Sheet1!F37</f>
        <v>55.05</v>
      </c>
      <c r="C37">
        <f>Sheet1!G37</f>
        <v>49.024999999999999</v>
      </c>
      <c r="D37" t="str">
        <f>Sheet1!E37</f>
        <v>Bottom</v>
      </c>
      <c r="E37">
        <f>ROUND(Sheet1!H37,0)</f>
        <v>0</v>
      </c>
    </row>
    <row r="38" spans="1:5" x14ac:dyDescent="0.25">
      <c r="A38" t="str">
        <f>Sheet1!A38</f>
        <v>C124</v>
      </c>
      <c r="B38">
        <f>Sheet1!F38</f>
        <v>62.225000000000001</v>
      </c>
      <c r="C38">
        <f>Sheet1!G38</f>
        <v>44.375</v>
      </c>
      <c r="D38" t="str">
        <f>Sheet1!E38</f>
        <v>Bottom</v>
      </c>
      <c r="E38">
        <f>ROUND(Sheet1!H38,0)</f>
        <v>0</v>
      </c>
    </row>
    <row r="39" spans="1:5" x14ac:dyDescent="0.25">
      <c r="A39" t="str">
        <f>Sheet1!A39</f>
        <v>C125</v>
      </c>
      <c r="B39">
        <f>Sheet1!F39</f>
        <v>54.575000000000003</v>
      </c>
      <c r="C39">
        <f>Sheet1!G39</f>
        <v>47.075000000000003</v>
      </c>
      <c r="D39" t="str">
        <f>Sheet1!E39</f>
        <v>Bottom</v>
      </c>
      <c r="E39">
        <f>ROUND(Sheet1!H39,0)</f>
        <v>-90</v>
      </c>
    </row>
    <row r="40" spans="1:5" x14ac:dyDescent="0.25">
      <c r="A40" t="str">
        <f>Sheet1!A40</f>
        <v>C126</v>
      </c>
      <c r="B40">
        <f>Sheet1!F40</f>
        <v>65.2</v>
      </c>
      <c r="C40">
        <f>Sheet1!G40</f>
        <v>30</v>
      </c>
      <c r="D40" t="str">
        <f>Sheet1!E40</f>
        <v>Bottom</v>
      </c>
      <c r="E40">
        <f>ROUND(Sheet1!H40,0)</f>
        <v>-90</v>
      </c>
    </row>
    <row r="41" spans="1:5" x14ac:dyDescent="0.25">
      <c r="A41" t="str">
        <f>Sheet1!A41</f>
        <v>C127</v>
      </c>
      <c r="B41">
        <f>Sheet1!F41</f>
        <v>62.9</v>
      </c>
      <c r="C41">
        <f>Sheet1!G41</f>
        <v>38.200000000000003</v>
      </c>
      <c r="D41" t="str">
        <f>Sheet1!E41</f>
        <v>Bottom</v>
      </c>
      <c r="E41">
        <f>ROUND(Sheet1!H41,0)</f>
        <v>0</v>
      </c>
    </row>
    <row r="42" spans="1:5" x14ac:dyDescent="0.25">
      <c r="A42" t="str">
        <f>Sheet1!A42</f>
        <v>C128</v>
      </c>
      <c r="B42">
        <f>Sheet1!F42</f>
        <v>61.3</v>
      </c>
      <c r="C42">
        <f>Sheet1!G42</f>
        <v>29.8</v>
      </c>
      <c r="D42" t="str">
        <f>Sheet1!E42</f>
        <v>Bottom</v>
      </c>
      <c r="E42">
        <f>ROUND(Sheet1!H42,0)</f>
        <v>-45</v>
      </c>
    </row>
    <row r="43" spans="1:5" x14ac:dyDescent="0.25">
      <c r="A43" t="str">
        <f>Sheet1!A43</f>
        <v>C129</v>
      </c>
      <c r="B43">
        <f>Sheet1!F43</f>
        <v>62.9</v>
      </c>
      <c r="C43">
        <f>Sheet1!G43</f>
        <v>39.174999999999997</v>
      </c>
      <c r="D43" t="str">
        <f>Sheet1!E43</f>
        <v>Bottom</v>
      </c>
      <c r="E43">
        <f>ROUND(Sheet1!H43,0)</f>
        <v>0</v>
      </c>
    </row>
    <row r="44" spans="1:5" x14ac:dyDescent="0.25">
      <c r="A44" t="str">
        <f>Sheet1!A44</f>
        <v>C130</v>
      </c>
      <c r="B44">
        <f>Sheet1!F44</f>
        <v>51.2</v>
      </c>
      <c r="C44">
        <f>Sheet1!G44</f>
        <v>28.3</v>
      </c>
      <c r="D44" t="str">
        <f>Sheet1!E44</f>
        <v>Bottom</v>
      </c>
      <c r="E44">
        <f>ROUND(Sheet1!H44,0)</f>
        <v>0</v>
      </c>
    </row>
    <row r="45" spans="1:5" x14ac:dyDescent="0.25">
      <c r="A45" t="str">
        <f>Sheet1!A45</f>
        <v>C131</v>
      </c>
      <c r="B45">
        <f>Sheet1!F45</f>
        <v>54.3</v>
      </c>
      <c r="C45">
        <f>Sheet1!G45</f>
        <v>28.8</v>
      </c>
      <c r="D45" t="str">
        <f>Sheet1!E45</f>
        <v>Bottom</v>
      </c>
      <c r="E45">
        <f>ROUND(Sheet1!H45,0)</f>
        <v>-90</v>
      </c>
    </row>
    <row r="46" spans="1:5" x14ac:dyDescent="0.25">
      <c r="A46" t="str">
        <f>Sheet1!A46</f>
        <v>C132</v>
      </c>
      <c r="B46">
        <f>Sheet1!F46</f>
        <v>47.5</v>
      </c>
      <c r="C46">
        <f>Sheet1!G46</f>
        <v>34.85</v>
      </c>
      <c r="D46" t="str">
        <f>Sheet1!E46</f>
        <v>Top</v>
      </c>
      <c r="E46">
        <f>ROUND(Sheet1!H46,0)</f>
        <v>-180</v>
      </c>
    </row>
    <row r="47" spans="1:5" x14ac:dyDescent="0.25">
      <c r="A47" t="str">
        <f>Sheet1!A47</f>
        <v>C133</v>
      </c>
      <c r="B47">
        <f>Sheet1!F47</f>
        <v>59.5</v>
      </c>
      <c r="C47">
        <f>Sheet1!G47</f>
        <v>24.4</v>
      </c>
      <c r="D47" t="str">
        <f>Sheet1!E47</f>
        <v>Bottom</v>
      </c>
      <c r="E47">
        <f>ROUND(Sheet1!H47,0)</f>
        <v>180</v>
      </c>
    </row>
    <row r="48" spans="1:5" x14ac:dyDescent="0.25">
      <c r="A48" t="str">
        <f>Sheet1!A48</f>
        <v>C134</v>
      </c>
      <c r="B48">
        <f>Sheet1!F48</f>
        <v>59.2</v>
      </c>
      <c r="C48">
        <f>Sheet1!G48</f>
        <v>28</v>
      </c>
      <c r="D48" t="str">
        <f>Sheet1!E48</f>
        <v>Bottom</v>
      </c>
      <c r="E48">
        <f>ROUND(Sheet1!H48,0)</f>
        <v>90</v>
      </c>
    </row>
    <row r="49" spans="1:5" x14ac:dyDescent="0.25">
      <c r="A49" t="str">
        <f>Sheet1!A49</f>
        <v>C135</v>
      </c>
      <c r="B49">
        <f>Sheet1!F49</f>
        <v>49.95</v>
      </c>
      <c r="C49">
        <f>Sheet1!G49</f>
        <v>33.6</v>
      </c>
      <c r="D49" t="str">
        <f>Sheet1!E49</f>
        <v>Bottom</v>
      </c>
      <c r="E49">
        <f>ROUND(Sheet1!H49,0)</f>
        <v>90</v>
      </c>
    </row>
    <row r="50" spans="1:5" x14ac:dyDescent="0.25">
      <c r="A50" t="str">
        <f>Sheet1!A50</f>
        <v>C136</v>
      </c>
      <c r="B50">
        <f>Sheet1!F50</f>
        <v>55.475000000000001</v>
      </c>
      <c r="C50">
        <f>Sheet1!G50</f>
        <v>27.975000000000001</v>
      </c>
      <c r="D50" t="str">
        <f>Sheet1!E50</f>
        <v>Bottom</v>
      </c>
      <c r="E50">
        <f>ROUND(Sheet1!H50,0)</f>
        <v>45</v>
      </c>
    </row>
    <row r="51" spans="1:5" x14ac:dyDescent="0.25">
      <c r="A51" t="str">
        <f>Sheet1!A51</f>
        <v>C137</v>
      </c>
      <c r="B51">
        <f>Sheet1!F51</f>
        <v>48.975000000000001</v>
      </c>
      <c r="C51">
        <f>Sheet1!G51</f>
        <v>33.6</v>
      </c>
      <c r="D51" t="str">
        <f>Sheet1!E51</f>
        <v>Bottom</v>
      </c>
      <c r="E51">
        <f>ROUND(Sheet1!H51,0)</f>
        <v>90</v>
      </c>
    </row>
    <row r="52" spans="1:5" x14ac:dyDescent="0.25">
      <c r="A52" t="str">
        <f>Sheet1!A52</f>
        <v>C138</v>
      </c>
      <c r="B52">
        <f>Sheet1!F52</f>
        <v>55.5</v>
      </c>
      <c r="C52">
        <f>Sheet1!G52</f>
        <v>31.2</v>
      </c>
      <c r="D52" t="str">
        <f>Sheet1!E52</f>
        <v>Bottom</v>
      </c>
      <c r="E52">
        <f>ROUND(Sheet1!H52,0)</f>
        <v>-45</v>
      </c>
    </row>
    <row r="53" spans="1:5" x14ac:dyDescent="0.25">
      <c r="A53" t="str">
        <f>Sheet1!A53</f>
        <v>C139</v>
      </c>
      <c r="B53">
        <f>Sheet1!F53</f>
        <v>58.8</v>
      </c>
      <c r="C53">
        <f>Sheet1!G53</f>
        <v>31.3</v>
      </c>
      <c r="D53" t="str">
        <f>Sheet1!E53</f>
        <v>Bottom</v>
      </c>
      <c r="E53">
        <f>ROUND(Sheet1!H53,0)</f>
        <v>-135</v>
      </c>
    </row>
    <row r="54" spans="1:5" x14ac:dyDescent="0.25">
      <c r="A54" t="str">
        <f>Sheet1!A54</f>
        <v>C140</v>
      </c>
      <c r="B54">
        <f>Sheet1!F54</f>
        <v>52</v>
      </c>
      <c r="C54">
        <f>Sheet1!G54</f>
        <v>30</v>
      </c>
      <c r="D54" t="str">
        <f>Sheet1!E54</f>
        <v>Bottom</v>
      </c>
      <c r="E54">
        <f>ROUND(Sheet1!H54,0)</f>
        <v>0</v>
      </c>
    </row>
    <row r="55" spans="1:5" x14ac:dyDescent="0.25">
      <c r="A55" t="str">
        <f>Sheet1!A55</f>
        <v>C141</v>
      </c>
      <c r="B55">
        <f>Sheet1!F55</f>
        <v>58.7</v>
      </c>
      <c r="C55">
        <f>Sheet1!G55</f>
        <v>29.4</v>
      </c>
      <c r="D55" t="str">
        <f>Sheet1!E55</f>
        <v>Bottom</v>
      </c>
      <c r="E55">
        <f>ROUND(Sheet1!H55,0)</f>
        <v>180</v>
      </c>
    </row>
    <row r="56" spans="1:5" x14ac:dyDescent="0.25">
      <c r="A56" t="str">
        <f>Sheet1!A56</f>
        <v>C142</v>
      </c>
      <c r="B56">
        <f>Sheet1!F56</f>
        <v>50.924999999999997</v>
      </c>
      <c r="C56">
        <f>Sheet1!G56</f>
        <v>33.6</v>
      </c>
      <c r="D56" t="str">
        <f>Sheet1!E56</f>
        <v>Bottom</v>
      </c>
      <c r="E56">
        <f>ROUND(Sheet1!H56,0)</f>
        <v>-90</v>
      </c>
    </row>
    <row r="57" spans="1:5" x14ac:dyDescent="0.25">
      <c r="A57" t="str">
        <f>Sheet1!A57</f>
        <v>C143</v>
      </c>
      <c r="B57">
        <f>Sheet1!F57</f>
        <v>63.5</v>
      </c>
      <c r="C57">
        <f>Sheet1!G57</f>
        <v>28.8</v>
      </c>
      <c r="D57" t="str">
        <f>Sheet1!E57</f>
        <v>Bottom</v>
      </c>
      <c r="E57">
        <f>ROUND(Sheet1!H57,0)</f>
        <v>-90</v>
      </c>
    </row>
    <row r="58" spans="1:5" x14ac:dyDescent="0.25">
      <c r="A58" t="str">
        <f>Sheet1!A58</f>
        <v>C144</v>
      </c>
      <c r="B58">
        <f>Sheet1!F58</f>
        <v>50.85</v>
      </c>
      <c r="C58">
        <f>Sheet1!G58</f>
        <v>25.6</v>
      </c>
      <c r="D58" t="str">
        <f>Sheet1!E58</f>
        <v>Bottom</v>
      </c>
      <c r="E58">
        <f>ROUND(Sheet1!H58,0)</f>
        <v>90</v>
      </c>
    </row>
    <row r="59" spans="1:5" x14ac:dyDescent="0.25">
      <c r="A59" t="str">
        <f>Sheet1!A59</f>
        <v>C145</v>
      </c>
      <c r="B59">
        <f>Sheet1!F59</f>
        <v>63.375</v>
      </c>
      <c r="C59">
        <f>Sheet1!G59</f>
        <v>25.2</v>
      </c>
      <c r="D59" t="str">
        <f>Sheet1!E59</f>
        <v>Bottom</v>
      </c>
      <c r="E59">
        <f>ROUND(Sheet1!H59,0)</f>
        <v>0</v>
      </c>
    </row>
    <row r="60" spans="1:5" x14ac:dyDescent="0.25">
      <c r="A60" t="str">
        <f>Sheet1!A60</f>
        <v>C146</v>
      </c>
      <c r="B60">
        <f>Sheet1!F60</f>
        <v>55.4</v>
      </c>
      <c r="C60">
        <f>Sheet1!G60</f>
        <v>29.7</v>
      </c>
      <c r="D60" t="str">
        <f>Sheet1!E60</f>
        <v>Bottom</v>
      </c>
      <c r="E60">
        <f>ROUND(Sheet1!H60,0)</f>
        <v>-45</v>
      </c>
    </row>
    <row r="61" spans="1:5" x14ac:dyDescent="0.25">
      <c r="A61" t="str">
        <f>Sheet1!A61</f>
        <v>C147</v>
      </c>
      <c r="B61">
        <f>Sheet1!F61</f>
        <v>63.9</v>
      </c>
      <c r="C61">
        <f>Sheet1!G61</f>
        <v>33.6</v>
      </c>
      <c r="D61" t="str">
        <f>Sheet1!E61</f>
        <v>Bottom</v>
      </c>
      <c r="E61">
        <f>ROUND(Sheet1!H61,0)</f>
        <v>-90</v>
      </c>
    </row>
    <row r="62" spans="1:5" x14ac:dyDescent="0.25">
      <c r="A62" t="str">
        <f>Sheet1!A62</f>
        <v>C148</v>
      </c>
      <c r="B62">
        <f>Sheet1!F62</f>
        <v>74.150000000000006</v>
      </c>
      <c r="C62">
        <f>Sheet1!G62</f>
        <v>29.05</v>
      </c>
      <c r="D62" t="str">
        <f>Sheet1!E62</f>
        <v>Top</v>
      </c>
      <c r="E62">
        <f>ROUND(Sheet1!H62,0)</f>
        <v>-90</v>
      </c>
    </row>
    <row r="63" spans="1:5" x14ac:dyDescent="0.25">
      <c r="A63" t="str">
        <f>Sheet1!A63</f>
        <v>C149</v>
      </c>
      <c r="B63">
        <f>Sheet1!F63</f>
        <v>53.5</v>
      </c>
      <c r="C63">
        <f>Sheet1!G63</f>
        <v>35.6</v>
      </c>
      <c r="D63" t="str">
        <f>Sheet1!E63</f>
        <v>Bottom</v>
      </c>
      <c r="E63">
        <f>ROUND(Sheet1!H63,0)</f>
        <v>0</v>
      </c>
    </row>
    <row r="64" spans="1:5" x14ac:dyDescent="0.25">
      <c r="A64" t="str">
        <f>Sheet1!A64</f>
        <v>C150</v>
      </c>
      <c r="B64">
        <f>Sheet1!F64</f>
        <v>54.3</v>
      </c>
      <c r="C64">
        <f>Sheet1!G64</f>
        <v>22.9</v>
      </c>
      <c r="D64" t="str">
        <f>Sheet1!E64</f>
        <v>Bottom</v>
      </c>
      <c r="E64">
        <f>ROUND(Sheet1!H64,0)</f>
        <v>-90</v>
      </c>
    </row>
    <row r="65" spans="1:5" x14ac:dyDescent="0.25">
      <c r="A65" t="str">
        <f>Sheet1!A65</f>
        <v>C151</v>
      </c>
      <c r="B65">
        <f>Sheet1!F65</f>
        <v>57</v>
      </c>
      <c r="C65">
        <f>Sheet1!G65</f>
        <v>31.3</v>
      </c>
      <c r="D65" t="str">
        <f>Sheet1!E65</f>
        <v>Bottom</v>
      </c>
      <c r="E65">
        <f>ROUND(Sheet1!H65,0)</f>
        <v>-45</v>
      </c>
    </row>
    <row r="66" spans="1:5" x14ac:dyDescent="0.25">
      <c r="A66" t="str">
        <f>Sheet1!A66</f>
        <v>C152</v>
      </c>
      <c r="B66">
        <f>Sheet1!F66</f>
        <v>61.5</v>
      </c>
      <c r="C66">
        <f>Sheet1!G66</f>
        <v>22.9</v>
      </c>
      <c r="D66" t="str">
        <f>Sheet1!E66</f>
        <v>Bottom</v>
      </c>
      <c r="E66">
        <f>ROUND(Sheet1!H66,0)</f>
        <v>-90</v>
      </c>
    </row>
    <row r="67" spans="1:5" x14ac:dyDescent="0.25">
      <c r="A67" t="str">
        <f>Sheet1!A67</f>
        <v>C153</v>
      </c>
      <c r="B67">
        <f>Sheet1!F67</f>
        <v>57.5</v>
      </c>
      <c r="C67">
        <f>Sheet1!G67</f>
        <v>35.6</v>
      </c>
      <c r="D67" t="str">
        <f>Sheet1!E67</f>
        <v>Bottom</v>
      </c>
      <c r="E67">
        <f>ROUND(Sheet1!H67,0)</f>
        <v>0</v>
      </c>
    </row>
    <row r="68" spans="1:5" x14ac:dyDescent="0.25">
      <c r="A68" t="str">
        <f>Sheet1!A68</f>
        <v>C154</v>
      </c>
      <c r="B68">
        <f>Sheet1!F68</f>
        <v>56.8</v>
      </c>
      <c r="C68">
        <f>Sheet1!G68</f>
        <v>28</v>
      </c>
      <c r="D68" t="str">
        <f>Sheet1!E68</f>
        <v>Bottom</v>
      </c>
      <c r="E68">
        <f>ROUND(Sheet1!H68,0)</f>
        <v>45</v>
      </c>
    </row>
    <row r="69" spans="1:5" x14ac:dyDescent="0.25">
      <c r="A69" t="str">
        <f>Sheet1!A69</f>
        <v>C155</v>
      </c>
      <c r="B69">
        <f>Sheet1!F69</f>
        <v>60.7</v>
      </c>
      <c r="C69">
        <f>Sheet1!G69</f>
        <v>35.799999999999997</v>
      </c>
      <c r="D69" t="str">
        <f>Sheet1!E69</f>
        <v>Bottom</v>
      </c>
      <c r="E69">
        <f>ROUND(Sheet1!H69,0)</f>
        <v>180</v>
      </c>
    </row>
    <row r="70" spans="1:5" x14ac:dyDescent="0.25">
      <c r="A70" t="str">
        <f>Sheet1!A70</f>
        <v>C156</v>
      </c>
      <c r="B70">
        <f>Sheet1!F70</f>
        <v>58.3</v>
      </c>
      <c r="C70">
        <f>Sheet1!G70</f>
        <v>28</v>
      </c>
      <c r="D70" t="str">
        <f>Sheet1!E70</f>
        <v>Bottom</v>
      </c>
      <c r="E70">
        <f>ROUND(Sheet1!H70,0)</f>
        <v>90</v>
      </c>
    </row>
    <row r="71" spans="1:5" x14ac:dyDescent="0.25">
      <c r="A71" t="str">
        <f>Sheet1!A71</f>
        <v>C157</v>
      </c>
      <c r="B71">
        <f>Sheet1!F71</f>
        <v>92</v>
      </c>
      <c r="C71">
        <f>Sheet1!G71</f>
        <v>38.9</v>
      </c>
      <c r="D71" t="str">
        <f>Sheet1!E71</f>
        <v>Top</v>
      </c>
      <c r="E71">
        <f>ROUND(Sheet1!H71,0)</f>
        <v>180</v>
      </c>
    </row>
    <row r="72" spans="1:5" x14ac:dyDescent="0.25">
      <c r="A72" t="str">
        <f>Sheet1!A72</f>
        <v>C158</v>
      </c>
      <c r="B72">
        <f>Sheet1!F72</f>
        <v>47.25</v>
      </c>
      <c r="C72">
        <f>Sheet1!G72</f>
        <v>53.15</v>
      </c>
      <c r="D72" t="str">
        <f>Sheet1!E72</f>
        <v>Top</v>
      </c>
      <c r="E72">
        <f>ROUND(Sheet1!H72,0)</f>
        <v>180</v>
      </c>
    </row>
    <row r="73" spans="1:5" x14ac:dyDescent="0.25">
      <c r="A73" t="str">
        <f>Sheet1!A73</f>
        <v>C159</v>
      </c>
      <c r="B73">
        <f>Sheet1!F73</f>
        <v>96.875</v>
      </c>
      <c r="C73">
        <f>Sheet1!G73</f>
        <v>37.700000000000003</v>
      </c>
      <c r="D73" t="str">
        <f>Sheet1!E73</f>
        <v>Top</v>
      </c>
      <c r="E73">
        <f>ROUND(Sheet1!H73,0)</f>
        <v>0</v>
      </c>
    </row>
    <row r="74" spans="1:5" x14ac:dyDescent="0.25">
      <c r="A74" t="str">
        <f>Sheet1!A74</f>
        <v>C160</v>
      </c>
      <c r="B74">
        <f>Sheet1!F74</f>
        <v>94.174999999999997</v>
      </c>
      <c r="C74">
        <f>Sheet1!G74</f>
        <v>38.725000000000001</v>
      </c>
      <c r="D74" t="str">
        <f>Sheet1!E74</f>
        <v>Top</v>
      </c>
      <c r="E74">
        <f>ROUND(Sheet1!H74,0)</f>
        <v>90</v>
      </c>
    </row>
    <row r="75" spans="1:5" x14ac:dyDescent="0.25">
      <c r="A75" t="str">
        <f>Sheet1!A75</f>
        <v>C301</v>
      </c>
      <c r="B75">
        <f>Sheet1!F75</f>
        <v>71.599999999999994</v>
      </c>
      <c r="C75">
        <f>Sheet1!G75</f>
        <v>48</v>
      </c>
      <c r="D75" t="str">
        <f>Sheet1!E75</f>
        <v>Top</v>
      </c>
      <c r="E75">
        <f>ROUND(Sheet1!H75,0)</f>
        <v>-90</v>
      </c>
    </row>
    <row r="76" spans="1:5" x14ac:dyDescent="0.25">
      <c r="A76" t="str">
        <f>Sheet1!A76</f>
        <v>C302</v>
      </c>
      <c r="B76">
        <f>Sheet1!F76</f>
        <v>79.599999999999994</v>
      </c>
      <c r="C76">
        <f>Sheet1!G76</f>
        <v>48</v>
      </c>
      <c r="D76" t="str">
        <f>Sheet1!E76</f>
        <v>Top</v>
      </c>
      <c r="E76">
        <f>ROUND(Sheet1!H76,0)</f>
        <v>-90</v>
      </c>
    </row>
    <row r="77" spans="1:5" x14ac:dyDescent="0.25">
      <c r="A77" t="str">
        <f>Sheet1!A77</f>
        <v>C303</v>
      </c>
      <c r="B77">
        <f>Sheet1!F77</f>
        <v>35.4</v>
      </c>
      <c r="C77">
        <f>Sheet1!G77</f>
        <v>46</v>
      </c>
      <c r="D77" t="str">
        <f>Sheet1!E77</f>
        <v>Top</v>
      </c>
      <c r="E77">
        <f>ROUND(Sheet1!H77,0)</f>
        <v>90</v>
      </c>
    </row>
    <row r="78" spans="1:5" x14ac:dyDescent="0.25">
      <c r="A78" t="str">
        <f>Sheet1!A78</f>
        <v>C304</v>
      </c>
      <c r="B78">
        <f>Sheet1!F78</f>
        <v>43.4</v>
      </c>
      <c r="C78">
        <f>Sheet1!G78</f>
        <v>46</v>
      </c>
      <c r="D78" t="str">
        <f>Sheet1!E78</f>
        <v>Top</v>
      </c>
      <c r="E78">
        <f>ROUND(Sheet1!H78,0)</f>
        <v>90</v>
      </c>
    </row>
    <row r="79" spans="1:5" x14ac:dyDescent="0.25">
      <c r="A79" t="str">
        <f>Sheet1!A79</f>
        <v>C401</v>
      </c>
      <c r="B79">
        <f>Sheet1!F79</f>
        <v>96.7</v>
      </c>
      <c r="C79">
        <f>Sheet1!G79</f>
        <v>16.2</v>
      </c>
      <c r="D79" t="str">
        <f>Sheet1!E79</f>
        <v>Top</v>
      </c>
      <c r="E79">
        <f>ROUND(Sheet1!H79,0)</f>
        <v>-90</v>
      </c>
    </row>
    <row r="80" spans="1:5" x14ac:dyDescent="0.25">
      <c r="A80" t="str">
        <f>Sheet1!A80</f>
        <v>C402</v>
      </c>
      <c r="B80">
        <f>Sheet1!F80</f>
        <v>98</v>
      </c>
      <c r="C80">
        <f>Sheet1!G80</f>
        <v>16.399999999999999</v>
      </c>
      <c r="D80" t="str">
        <f>Sheet1!E80</f>
        <v>Top</v>
      </c>
      <c r="E80">
        <f>ROUND(Sheet1!H80,0)</f>
        <v>-90</v>
      </c>
    </row>
    <row r="81" spans="1:5" x14ac:dyDescent="0.25">
      <c r="A81" t="str">
        <f>Sheet1!A81</f>
        <v>C601</v>
      </c>
      <c r="B81">
        <f>Sheet1!F81</f>
        <v>71.7</v>
      </c>
      <c r="C81">
        <f>Sheet1!G81</f>
        <v>21.45</v>
      </c>
      <c r="D81" t="str">
        <f>Sheet1!E81</f>
        <v>Top</v>
      </c>
      <c r="E81">
        <f>ROUND(Sheet1!H81,0)</f>
        <v>90</v>
      </c>
    </row>
    <row r="82" spans="1:5" x14ac:dyDescent="0.25">
      <c r="A82" t="str">
        <f>Sheet1!A82</f>
        <v>C602</v>
      </c>
      <c r="B82">
        <f>Sheet1!F82</f>
        <v>86.2</v>
      </c>
      <c r="C82">
        <f>Sheet1!G82</f>
        <v>18.75</v>
      </c>
      <c r="D82" t="str">
        <f>Sheet1!E82</f>
        <v>Top</v>
      </c>
      <c r="E82">
        <f>ROUND(Sheet1!H82,0)</f>
        <v>0</v>
      </c>
    </row>
    <row r="83" spans="1:5" x14ac:dyDescent="0.25">
      <c r="A83" t="str">
        <f>Sheet1!A83</f>
        <v>C603</v>
      </c>
      <c r="B83">
        <f>Sheet1!F83</f>
        <v>70.7</v>
      </c>
      <c r="C83">
        <f>Sheet1!G83</f>
        <v>21.45</v>
      </c>
      <c r="D83" t="str">
        <f>Sheet1!E83</f>
        <v>Top</v>
      </c>
      <c r="E83">
        <f>ROUND(Sheet1!H83,0)</f>
        <v>90</v>
      </c>
    </row>
    <row r="84" spans="1:5" x14ac:dyDescent="0.25">
      <c r="A84" t="str">
        <f>Sheet1!A84</f>
        <v>C604</v>
      </c>
      <c r="B84">
        <f>Sheet1!F84</f>
        <v>86.2</v>
      </c>
      <c r="C84">
        <f>Sheet1!G84</f>
        <v>19.75</v>
      </c>
      <c r="D84" t="str">
        <f>Sheet1!E84</f>
        <v>Top</v>
      </c>
      <c r="E84">
        <f>ROUND(Sheet1!H84,0)</f>
        <v>0</v>
      </c>
    </row>
    <row r="85" spans="1:5" x14ac:dyDescent="0.25">
      <c r="A85" t="str">
        <f>Sheet1!A85</f>
        <v>D1</v>
      </c>
      <c r="B85">
        <f>Sheet1!F85</f>
        <v>19.8</v>
      </c>
      <c r="C85">
        <f>Sheet1!G85</f>
        <v>16.7</v>
      </c>
      <c r="D85" t="str">
        <f>Sheet1!E85</f>
        <v>Top</v>
      </c>
      <c r="E85">
        <f>ROUND(Sheet1!H85,0)</f>
        <v>90</v>
      </c>
    </row>
    <row r="86" spans="1:5" x14ac:dyDescent="0.25">
      <c r="A86" t="str">
        <f>Sheet1!A86</f>
        <v>D2</v>
      </c>
      <c r="B86">
        <f>Sheet1!F86</f>
        <v>19.850000000000001</v>
      </c>
      <c r="C86">
        <f>Sheet1!G86</f>
        <v>12.9</v>
      </c>
      <c r="D86" t="str">
        <f>Sheet1!E86</f>
        <v>Top</v>
      </c>
      <c r="E86">
        <f>ROUND(Sheet1!H86,0)</f>
        <v>90</v>
      </c>
    </row>
    <row r="87" spans="1:5" x14ac:dyDescent="0.25">
      <c r="A87" t="str">
        <f>Sheet1!A87</f>
        <v>D101</v>
      </c>
      <c r="B87">
        <f>Sheet1!F87</f>
        <v>82.45</v>
      </c>
      <c r="C87">
        <f>Sheet1!G87</f>
        <v>32.450000000000003</v>
      </c>
      <c r="D87" t="str">
        <f>Sheet1!E87</f>
        <v>Top</v>
      </c>
      <c r="E87">
        <f>ROUND(Sheet1!H87,0)</f>
        <v>-90</v>
      </c>
    </row>
    <row r="88" spans="1:5" x14ac:dyDescent="0.25">
      <c r="A88" t="str">
        <f>Sheet1!A88</f>
        <v>D102</v>
      </c>
      <c r="B88">
        <f>Sheet1!F88</f>
        <v>42.8</v>
      </c>
      <c r="C88">
        <f>Sheet1!G88</f>
        <v>31.524999999999999</v>
      </c>
      <c r="D88" t="str">
        <f>Sheet1!E88</f>
        <v>Bottom</v>
      </c>
      <c r="E88">
        <f>ROUND(Sheet1!H88,0)</f>
        <v>-90</v>
      </c>
    </row>
    <row r="89" spans="1:5" x14ac:dyDescent="0.25">
      <c r="A89" t="str">
        <f>Sheet1!A89</f>
        <v>D103</v>
      </c>
      <c r="B89">
        <f>Sheet1!F89</f>
        <v>32.5</v>
      </c>
      <c r="C89">
        <f>Sheet1!G89</f>
        <v>32.450000000000003</v>
      </c>
      <c r="D89" t="str">
        <f>Sheet1!E89</f>
        <v>Top</v>
      </c>
      <c r="E89">
        <f>ROUND(Sheet1!H89,0)</f>
        <v>-90</v>
      </c>
    </row>
    <row r="90" spans="1:5" x14ac:dyDescent="0.25">
      <c r="A90" t="str">
        <f>Sheet1!A90</f>
        <v>D104</v>
      </c>
      <c r="B90">
        <f>Sheet1!F90</f>
        <v>82.45</v>
      </c>
      <c r="C90">
        <f>Sheet1!G90</f>
        <v>26</v>
      </c>
      <c r="D90" t="str">
        <f>Sheet1!E90</f>
        <v>Top</v>
      </c>
      <c r="E90">
        <f>ROUND(Sheet1!H90,0)</f>
        <v>90</v>
      </c>
    </row>
    <row r="91" spans="1:5" x14ac:dyDescent="0.25">
      <c r="A91" t="str">
        <f>Sheet1!A91</f>
        <v>D105</v>
      </c>
      <c r="B91">
        <f>Sheet1!F91</f>
        <v>32.5</v>
      </c>
      <c r="C91">
        <f>Sheet1!G91</f>
        <v>26</v>
      </c>
      <c r="D91" t="str">
        <f>Sheet1!E91</f>
        <v>Top</v>
      </c>
      <c r="E91">
        <f>ROUND(Sheet1!H91,0)</f>
        <v>90</v>
      </c>
    </row>
    <row r="92" spans="1:5" x14ac:dyDescent="0.25">
      <c r="A92" t="str">
        <f>Sheet1!A92</f>
        <v>D601</v>
      </c>
      <c r="B92">
        <f>Sheet1!F92</f>
        <v>55.9</v>
      </c>
      <c r="C92">
        <f>Sheet1!G92</f>
        <v>10.75</v>
      </c>
      <c r="D92" t="str">
        <f>Sheet1!E92</f>
        <v>Top</v>
      </c>
      <c r="E92">
        <f>ROUND(Sheet1!H92,0)</f>
        <v>180</v>
      </c>
    </row>
    <row r="93" spans="1:5" x14ac:dyDescent="0.25">
      <c r="A93" t="str">
        <f>Sheet1!A93</f>
        <v>D602</v>
      </c>
      <c r="B93">
        <f>Sheet1!F93</f>
        <v>59</v>
      </c>
      <c r="C93">
        <f>Sheet1!G93</f>
        <v>10.75</v>
      </c>
      <c r="D93" t="str">
        <f>Sheet1!E93</f>
        <v>Top</v>
      </c>
      <c r="E93">
        <f>ROUND(Sheet1!H93,0)</f>
        <v>0</v>
      </c>
    </row>
    <row r="94" spans="1:5" x14ac:dyDescent="0.25">
      <c r="A94" t="str">
        <f>Sheet1!A94</f>
        <v>J1</v>
      </c>
      <c r="B94">
        <f>Sheet1!F94</f>
        <v>12.875</v>
      </c>
      <c r="C94">
        <f>Sheet1!G94</f>
        <v>42.575000000000003</v>
      </c>
      <c r="D94" t="str">
        <f>Sheet1!E94</f>
        <v>Top</v>
      </c>
      <c r="E94">
        <f>ROUND(Sheet1!H94,0)</f>
        <v>-90</v>
      </c>
    </row>
    <row r="95" spans="1:5" x14ac:dyDescent="0.25">
      <c r="A95" t="str">
        <f>Sheet1!A95</f>
        <v>J402</v>
      </c>
      <c r="B95">
        <f>Sheet1!F95</f>
        <v>27.5</v>
      </c>
      <c r="C95">
        <f>Sheet1!G95</f>
        <v>26</v>
      </c>
      <c r="D95" t="str">
        <f>Sheet1!E95</f>
        <v>Top</v>
      </c>
      <c r="E95">
        <f>ROUND(Sheet1!H95,0)</f>
        <v>-90</v>
      </c>
    </row>
    <row r="96" spans="1:5" x14ac:dyDescent="0.25">
      <c r="A96" t="str">
        <f>Sheet1!A96</f>
        <v>J403</v>
      </c>
      <c r="B96">
        <f>Sheet1!F96</f>
        <v>57.5</v>
      </c>
      <c r="C96">
        <f>Sheet1!G96</f>
        <v>19.3</v>
      </c>
      <c r="D96" t="str">
        <f>Sheet1!E96</f>
        <v>Top</v>
      </c>
      <c r="E96">
        <f>ROUND(Sheet1!H96,0)</f>
        <v>180</v>
      </c>
    </row>
    <row r="97" spans="1:5" x14ac:dyDescent="0.25">
      <c r="A97" t="str">
        <f>Sheet1!A97</f>
        <v>J404</v>
      </c>
      <c r="B97">
        <f>Sheet1!F97</f>
        <v>17.5</v>
      </c>
      <c r="C97">
        <f>Sheet1!G97</f>
        <v>48.5</v>
      </c>
      <c r="D97" t="str">
        <f>Sheet1!E97</f>
        <v>Bottom</v>
      </c>
      <c r="E97">
        <f>ROUND(Sheet1!H97,0)</f>
        <v>-90</v>
      </c>
    </row>
    <row r="98" spans="1:5" x14ac:dyDescent="0.25">
      <c r="A98" t="str">
        <f>Sheet1!A98</f>
        <v>J405</v>
      </c>
      <c r="B98">
        <f>Sheet1!F98</f>
        <v>78.8</v>
      </c>
      <c r="C98">
        <f>Sheet1!G98</f>
        <v>26.6</v>
      </c>
      <c r="D98" t="str">
        <f>Sheet1!E98</f>
        <v>Top</v>
      </c>
      <c r="E98">
        <f>ROUND(Sheet1!H98,0)</f>
        <v>90</v>
      </c>
    </row>
    <row r="99" spans="1:5" x14ac:dyDescent="0.25">
      <c r="A99" t="str">
        <f>Sheet1!A99</f>
        <v>J406</v>
      </c>
      <c r="B99">
        <f>Sheet1!F99</f>
        <v>97.5</v>
      </c>
      <c r="C99">
        <f>Sheet1!G99</f>
        <v>48.5</v>
      </c>
      <c r="D99" t="str">
        <f>Sheet1!E99</f>
        <v>Bottom</v>
      </c>
      <c r="E99">
        <f>ROUND(Sheet1!H99,0)</f>
        <v>-90</v>
      </c>
    </row>
    <row r="100" spans="1:5" x14ac:dyDescent="0.25">
      <c r="A100" t="str">
        <f>Sheet1!A100</f>
        <v>J407</v>
      </c>
      <c r="B100">
        <f>Sheet1!F100</f>
        <v>101.797</v>
      </c>
      <c r="C100">
        <f>Sheet1!G100</f>
        <v>17.100000000000001</v>
      </c>
      <c r="D100" t="str">
        <f>Sheet1!E100</f>
        <v>Top</v>
      </c>
      <c r="E100">
        <f>ROUND(Sheet1!H100,0)</f>
        <v>-90</v>
      </c>
    </row>
    <row r="101" spans="1:5" x14ac:dyDescent="0.25">
      <c r="A101" t="str">
        <f>Sheet1!A101</f>
        <v>J408</v>
      </c>
      <c r="B101">
        <f>Sheet1!F101</f>
        <v>36.200000000000003</v>
      </c>
      <c r="C101">
        <f>Sheet1!G101</f>
        <v>26.6</v>
      </c>
      <c r="D101" t="str">
        <f>Sheet1!E101</f>
        <v>Top</v>
      </c>
      <c r="E101">
        <f>ROUND(Sheet1!H101,0)</f>
        <v>90</v>
      </c>
    </row>
    <row r="102" spans="1:5" x14ac:dyDescent="0.25">
      <c r="A102" t="str">
        <f>Sheet1!A102</f>
        <v>J409</v>
      </c>
      <c r="B102">
        <f>Sheet1!F102</f>
        <v>32.5</v>
      </c>
      <c r="C102">
        <f>Sheet1!G102</f>
        <v>14.5</v>
      </c>
      <c r="D102" t="str">
        <f>Sheet1!E102</f>
        <v>Bottom</v>
      </c>
      <c r="E102">
        <f>ROUND(Sheet1!H102,0)</f>
        <v>0</v>
      </c>
    </row>
    <row r="103" spans="1:5" x14ac:dyDescent="0.25">
      <c r="A103" t="str">
        <f>Sheet1!A103</f>
        <v>J410</v>
      </c>
      <c r="B103">
        <f>Sheet1!F103</f>
        <v>103.25</v>
      </c>
      <c r="C103">
        <f>Sheet1!G103</f>
        <v>41.55</v>
      </c>
      <c r="D103" t="str">
        <f>Sheet1!E103</f>
        <v>Top</v>
      </c>
      <c r="E103">
        <f>ROUND(Sheet1!H103,0)</f>
        <v>180</v>
      </c>
    </row>
    <row r="104" spans="1:5" x14ac:dyDescent="0.25">
      <c r="A104" t="str">
        <f>Sheet1!A104</f>
        <v>J411</v>
      </c>
      <c r="B104">
        <f>Sheet1!F104</f>
        <v>82.5</v>
      </c>
      <c r="C104">
        <f>Sheet1!G104</f>
        <v>14.5</v>
      </c>
      <c r="D104" t="str">
        <f>Sheet1!E104</f>
        <v>Bottom</v>
      </c>
      <c r="E104">
        <f>ROUND(Sheet1!H104,0)</f>
        <v>0</v>
      </c>
    </row>
    <row r="105" spans="1:5" x14ac:dyDescent="0.25">
      <c r="A105" t="str">
        <f>Sheet1!A105</f>
        <v>J601</v>
      </c>
      <c r="B105">
        <f>Sheet1!F105</f>
        <v>50.75</v>
      </c>
      <c r="C105">
        <f>Sheet1!G105</f>
        <v>13.5</v>
      </c>
      <c r="D105" t="str">
        <f>Sheet1!E105</f>
        <v>Top</v>
      </c>
      <c r="E105">
        <f>ROUND(Sheet1!H105,0)</f>
        <v>180</v>
      </c>
    </row>
    <row r="106" spans="1:5" x14ac:dyDescent="0.25">
      <c r="A106" t="str">
        <f>Sheet1!A106</f>
        <v>J602</v>
      </c>
      <c r="B106">
        <f>Sheet1!F106</f>
        <v>64.25</v>
      </c>
      <c r="C106">
        <f>Sheet1!G106</f>
        <v>13.5</v>
      </c>
      <c r="D106" t="str">
        <f>Sheet1!E106</f>
        <v>Top</v>
      </c>
      <c r="E106">
        <f>ROUND(Sheet1!H106,0)</f>
        <v>180</v>
      </c>
    </row>
    <row r="107" spans="1:5" x14ac:dyDescent="0.25">
      <c r="A107" t="str">
        <f>Sheet1!A107</f>
        <v>L1</v>
      </c>
      <c r="B107">
        <f>Sheet1!F107</f>
        <v>17.600000000000001</v>
      </c>
      <c r="C107">
        <f>Sheet1!G107</f>
        <v>29.5</v>
      </c>
      <c r="D107" t="str">
        <f>Sheet1!E107</f>
        <v>Top</v>
      </c>
      <c r="E107">
        <f>ROUND(Sheet1!H107,0)</f>
        <v>90</v>
      </c>
    </row>
    <row r="108" spans="1:5" x14ac:dyDescent="0.25">
      <c r="A108" t="str">
        <f>Sheet1!A108</f>
        <v>L2</v>
      </c>
      <c r="B108">
        <f>Sheet1!F108</f>
        <v>17.600000000000001</v>
      </c>
      <c r="C108">
        <f>Sheet1!G108</f>
        <v>21.2</v>
      </c>
      <c r="D108" t="str">
        <f>Sheet1!E108</f>
        <v>Top</v>
      </c>
      <c r="E108">
        <f>ROUND(Sheet1!H108,0)</f>
        <v>90</v>
      </c>
    </row>
    <row r="109" spans="1:5" x14ac:dyDescent="0.25">
      <c r="A109" t="str">
        <f>Sheet1!A109</f>
        <v>L3</v>
      </c>
      <c r="B109">
        <f>Sheet1!F109</f>
        <v>17.600000000000001</v>
      </c>
      <c r="C109">
        <f>Sheet1!G109</f>
        <v>12.9</v>
      </c>
      <c r="D109" t="str">
        <f>Sheet1!E109</f>
        <v>Top</v>
      </c>
      <c r="E109">
        <f>ROUND(Sheet1!H109,0)</f>
        <v>90</v>
      </c>
    </row>
    <row r="110" spans="1:5" x14ac:dyDescent="0.25">
      <c r="A110" t="str">
        <f>Sheet1!A110</f>
        <v>L101</v>
      </c>
      <c r="B110">
        <f>Sheet1!F110</f>
        <v>51.1</v>
      </c>
      <c r="C110">
        <f>Sheet1!G110</f>
        <v>51.225000000000001</v>
      </c>
      <c r="D110" t="str">
        <f>Sheet1!E110</f>
        <v>Top</v>
      </c>
      <c r="E110">
        <f>ROUND(Sheet1!H110,0)</f>
        <v>-90</v>
      </c>
    </row>
    <row r="111" spans="1:5" x14ac:dyDescent="0.25">
      <c r="A111" t="str">
        <f>Sheet1!A111</f>
        <v>R1</v>
      </c>
      <c r="B111">
        <f>Sheet1!F111</f>
        <v>46.5</v>
      </c>
      <c r="C111">
        <f>Sheet1!G111</f>
        <v>13.5</v>
      </c>
      <c r="D111" t="str">
        <f>Sheet1!E111</f>
        <v>Bottom</v>
      </c>
      <c r="E111">
        <f>ROUND(Sheet1!H111,0)</f>
        <v>-90</v>
      </c>
    </row>
    <row r="112" spans="1:5" x14ac:dyDescent="0.25">
      <c r="A112" t="str">
        <f>Sheet1!A112</f>
        <v>R2</v>
      </c>
      <c r="B112">
        <f>Sheet1!F112</f>
        <v>21.1</v>
      </c>
      <c r="C112">
        <f>Sheet1!G112</f>
        <v>16.7</v>
      </c>
      <c r="D112" t="str">
        <f>Sheet1!E112</f>
        <v>Top</v>
      </c>
      <c r="E112">
        <f>ROUND(Sheet1!H112,0)</f>
        <v>90</v>
      </c>
    </row>
    <row r="113" spans="1:5" x14ac:dyDescent="0.25">
      <c r="A113" t="str">
        <f>Sheet1!A113</f>
        <v>R3</v>
      </c>
      <c r="B113">
        <f>Sheet1!F113</f>
        <v>21.15</v>
      </c>
      <c r="C113">
        <f>Sheet1!G113</f>
        <v>12.95</v>
      </c>
      <c r="D113" t="str">
        <f>Sheet1!E113</f>
        <v>Top</v>
      </c>
      <c r="E113">
        <f>ROUND(Sheet1!H113,0)</f>
        <v>90</v>
      </c>
    </row>
    <row r="114" spans="1:5" x14ac:dyDescent="0.25">
      <c r="A114" t="str">
        <f>Sheet1!A114</f>
        <v>R4</v>
      </c>
      <c r="B114">
        <f>Sheet1!F114</f>
        <v>48.475000000000001</v>
      </c>
      <c r="C114">
        <f>Sheet1!G114</f>
        <v>26.425000000000001</v>
      </c>
      <c r="D114" t="str">
        <f>Sheet1!E114</f>
        <v>Top</v>
      </c>
      <c r="E114">
        <f>ROUND(Sheet1!H114,0)</f>
        <v>-90</v>
      </c>
    </row>
    <row r="115" spans="1:5" x14ac:dyDescent="0.25">
      <c r="A115" t="str">
        <f>Sheet1!A115</f>
        <v>R5</v>
      </c>
      <c r="B115">
        <f>Sheet1!F115</f>
        <v>48.475000000000001</v>
      </c>
      <c r="C115">
        <f>Sheet1!G115</f>
        <v>28.225000000000001</v>
      </c>
      <c r="D115" t="str">
        <f>Sheet1!E115</f>
        <v>Top</v>
      </c>
      <c r="E115">
        <f>ROUND(Sheet1!H115,0)</f>
        <v>90</v>
      </c>
    </row>
    <row r="116" spans="1:5" x14ac:dyDescent="0.25">
      <c r="A116" t="str">
        <f>Sheet1!A116</f>
        <v>R6</v>
      </c>
      <c r="B116">
        <f>Sheet1!F116</f>
        <v>14.1</v>
      </c>
      <c r="C116">
        <f>Sheet1!G116</f>
        <v>32.450000000000003</v>
      </c>
      <c r="D116" t="str">
        <f>Sheet1!E116</f>
        <v>Top</v>
      </c>
      <c r="E116">
        <f>ROUND(Sheet1!H116,0)</f>
        <v>0</v>
      </c>
    </row>
    <row r="117" spans="1:5" x14ac:dyDescent="0.25">
      <c r="A117" t="str">
        <f>Sheet1!A117</f>
        <v>R7</v>
      </c>
      <c r="B117">
        <f>Sheet1!F117</f>
        <v>14.1</v>
      </c>
      <c r="C117">
        <f>Sheet1!G117</f>
        <v>33.450000000000003</v>
      </c>
      <c r="D117" t="str">
        <f>Sheet1!E117</f>
        <v>Top</v>
      </c>
      <c r="E117">
        <f>ROUND(Sheet1!H117,0)</f>
        <v>0</v>
      </c>
    </row>
    <row r="118" spans="1:5" x14ac:dyDescent="0.25">
      <c r="A118" t="str">
        <f>Sheet1!A118</f>
        <v>R8</v>
      </c>
      <c r="B118">
        <f>Sheet1!F118</f>
        <v>12.1</v>
      </c>
      <c r="C118">
        <f>Sheet1!G118</f>
        <v>32.450000000000003</v>
      </c>
      <c r="D118" t="str">
        <f>Sheet1!E118</f>
        <v>Top</v>
      </c>
      <c r="E118">
        <f>ROUND(Sheet1!H118,0)</f>
        <v>180</v>
      </c>
    </row>
    <row r="119" spans="1:5" x14ac:dyDescent="0.25">
      <c r="A119" t="str">
        <f>Sheet1!A119</f>
        <v>R9</v>
      </c>
      <c r="B119">
        <f>Sheet1!F119</f>
        <v>14.1</v>
      </c>
      <c r="C119">
        <f>Sheet1!G119</f>
        <v>24.15</v>
      </c>
      <c r="D119" t="str">
        <f>Sheet1!E119</f>
        <v>Top</v>
      </c>
      <c r="E119">
        <f>ROUND(Sheet1!H119,0)</f>
        <v>0</v>
      </c>
    </row>
    <row r="120" spans="1:5" x14ac:dyDescent="0.25">
      <c r="A120" t="str">
        <f>Sheet1!A120</f>
        <v>R10</v>
      </c>
      <c r="B120">
        <f>Sheet1!F120</f>
        <v>14.1</v>
      </c>
      <c r="C120">
        <f>Sheet1!G120</f>
        <v>25.15</v>
      </c>
      <c r="D120" t="str">
        <f>Sheet1!E120</f>
        <v>Top</v>
      </c>
      <c r="E120">
        <f>ROUND(Sheet1!H120,0)</f>
        <v>0</v>
      </c>
    </row>
    <row r="121" spans="1:5" x14ac:dyDescent="0.25">
      <c r="A121" t="str">
        <f>Sheet1!A121</f>
        <v>R11</v>
      </c>
      <c r="B121">
        <f>Sheet1!F121</f>
        <v>12.1</v>
      </c>
      <c r="C121">
        <f>Sheet1!G121</f>
        <v>24.15</v>
      </c>
      <c r="D121" t="str">
        <f>Sheet1!E121</f>
        <v>Top</v>
      </c>
      <c r="E121">
        <f>ROUND(Sheet1!H121,0)</f>
        <v>180</v>
      </c>
    </row>
    <row r="122" spans="1:5" x14ac:dyDescent="0.25">
      <c r="A122" t="str">
        <f>Sheet1!A122</f>
        <v>R12</v>
      </c>
      <c r="B122">
        <f>Sheet1!F122</f>
        <v>14.1</v>
      </c>
      <c r="C122">
        <f>Sheet1!G122</f>
        <v>15.85</v>
      </c>
      <c r="D122" t="str">
        <f>Sheet1!E122</f>
        <v>Top</v>
      </c>
      <c r="E122">
        <f>ROUND(Sheet1!H122,0)</f>
        <v>0</v>
      </c>
    </row>
    <row r="123" spans="1:5" x14ac:dyDescent="0.25">
      <c r="A123" t="str">
        <f>Sheet1!A123</f>
        <v>R13</v>
      </c>
      <c r="B123">
        <f>Sheet1!F123</f>
        <v>14.1</v>
      </c>
      <c r="C123">
        <f>Sheet1!G123</f>
        <v>16.850000000000001</v>
      </c>
      <c r="D123" t="str">
        <f>Sheet1!E123</f>
        <v>Top</v>
      </c>
      <c r="E123">
        <f>ROUND(Sheet1!H123,0)</f>
        <v>0</v>
      </c>
    </row>
    <row r="124" spans="1:5" x14ac:dyDescent="0.25">
      <c r="A124" t="str">
        <f>Sheet1!A124</f>
        <v>R14</v>
      </c>
      <c r="B124">
        <f>Sheet1!F124</f>
        <v>12.1</v>
      </c>
      <c r="C124">
        <f>Sheet1!G124</f>
        <v>15.85</v>
      </c>
      <c r="D124" t="str">
        <f>Sheet1!E124</f>
        <v>Top</v>
      </c>
      <c r="E124">
        <f>ROUND(Sheet1!H124,0)</f>
        <v>180</v>
      </c>
    </row>
    <row r="125" spans="1:5" x14ac:dyDescent="0.25">
      <c r="A125" t="str">
        <f>Sheet1!A125</f>
        <v>R101</v>
      </c>
      <c r="B125">
        <f>Sheet1!F125</f>
        <v>51.1</v>
      </c>
      <c r="C125">
        <f>Sheet1!G125</f>
        <v>48.55</v>
      </c>
      <c r="D125" t="str">
        <f>Sheet1!E125</f>
        <v>Top</v>
      </c>
      <c r="E125">
        <f>ROUND(Sheet1!H125,0)</f>
        <v>90</v>
      </c>
    </row>
    <row r="126" spans="1:5" x14ac:dyDescent="0.25">
      <c r="A126" t="str">
        <f>Sheet1!A126</f>
        <v>R102</v>
      </c>
      <c r="B126">
        <f>Sheet1!F126</f>
        <v>50.35</v>
      </c>
      <c r="C126">
        <f>Sheet1!G126</f>
        <v>53.174999999999997</v>
      </c>
      <c r="D126" t="str">
        <f>Sheet1!E126</f>
        <v>Bottom</v>
      </c>
      <c r="E126">
        <f>ROUND(Sheet1!H126,0)</f>
        <v>0</v>
      </c>
    </row>
    <row r="127" spans="1:5" x14ac:dyDescent="0.25">
      <c r="A127" t="str">
        <f>Sheet1!A127</f>
        <v>R103</v>
      </c>
      <c r="B127">
        <f>Sheet1!F127</f>
        <v>65.525000000000006</v>
      </c>
      <c r="C127">
        <f>Sheet1!G127</f>
        <v>53.575000000000003</v>
      </c>
      <c r="D127" t="str">
        <f>Sheet1!E127</f>
        <v>Top</v>
      </c>
      <c r="E127">
        <f>ROUND(Sheet1!H127,0)</f>
        <v>90</v>
      </c>
    </row>
    <row r="128" spans="1:5" x14ac:dyDescent="0.25">
      <c r="A128" t="str">
        <f>Sheet1!A128</f>
        <v>R104</v>
      </c>
      <c r="B128">
        <f>Sheet1!F128</f>
        <v>53.274999999999999</v>
      </c>
      <c r="C128">
        <f>Sheet1!G128</f>
        <v>48.375</v>
      </c>
      <c r="D128" t="str">
        <f>Sheet1!E128</f>
        <v>Bottom</v>
      </c>
      <c r="E128">
        <f>ROUND(Sheet1!H128,0)</f>
        <v>-90</v>
      </c>
    </row>
    <row r="129" spans="1:5" x14ac:dyDescent="0.25">
      <c r="A129" t="str">
        <f>Sheet1!A129</f>
        <v>R105</v>
      </c>
      <c r="B129">
        <f>Sheet1!F129</f>
        <v>74.900000000000006</v>
      </c>
      <c r="C129">
        <f>Sheet1!G129</f>
        <v>32.549999999999997</v>
      </c>
      <c r="D129" t="str">
        <f>Sheet1!E129</f>
        <v>Top</v>
      </c>
      <c r="E129">
        <f>ROUND(Sheet1!H129,0)</f>
        <v>180</v>
      </c>
    </row>
    <row r="130" spans="1:5" x14ac:dyDescent="0.25">
      <c r="A130" t="str">
        <f>Sheet1!A130</f>
        <v>R106</v>
      </c>
      <c r="B130">
        <f>Sheet1!F130</f>
        <v>74.900000000000006</v>
      </c>
      <c r="C130">
        <f>Sheet1!G130</f>
        <v>33.450000000000003</v>
      </c>
      <c r="D130" t="str">
        <f>Sheet1!E130</f>
        <v>Top</v>
      </c>
      <c r="E130">
        <f>ROUND(Sheet1!H130,0)</f>
        <v>180</v>
      </c>
    </row>
    <row r="131" spans="1:5" x14ac:dyDescent="0.25">
      <c r="A131" t="str">
        <f>Sheet1!A131</f>
        <v>R107</v>
      </c>
      <c r="B131">
        <f>Sheet1!F131</f>
        <v>75.2</v>
      </c>
      <c r="C131">
        <f>Sheet1!G131</f>
        <v>29.05</v>
      </c>
      <c r="D131" t="str">
        <f>Sheet1!E131</f>
        <v>Top</v>
      </c>
      <c r="E131">
        <f>ROUND(Sheet1!H131,0)</f>
        <v>90</v>
      </c>
    </row>
    <row r="132" spans="1:5" x14ac:dyDescent="0.25">
      <c r="A132" t="str">
        <f>Sheet1!A132</f>
        <v>R108</v>
      </c>
      <c r="B132">
        <f>Sheet1!F132</f>
        <v>66.8</v>
      </c>
      <c r="C132">
        <f>Sheet1!G132</f>
        <v>31.3</v>
      </c>
      <c r="D132" t="str">
        <f>Sheet1!E132</f>
        <v>Bottom</v>
      </c>
      <c r="E132">
        <f>ROUND(Sheet1!H132,0)</f>
        <v>-90</v>
      </c>
    </row>
    <row r="133" spans="1:5" x14ac:dyDescent="0.25">
      <c r="A133" t="str">
        <f>Sheet1!A133</f>
        <v>R109</v>
      </c>
      <c r="B133">
        <f>Sheet1!F133</f>
        <v>63.9</v>
      </c>
      <c r="C133">
        <f>Sheet1!G133</f>
        <v>35.5</v>
      </c>
      <c r="D133" t="str">
        <f>Sheet1!E133</f>
        <v>Bottom</v>
      </c>
      <c r="E133">
        <f>ROUND(Sheet1!H133,0)</f>
        <v>90</v>
      </c>
    </row>
    <row r="134" spans="1:5" x14ac:dyDescent="0.25">
      <c r="A134" t="str">
        <f>Sheet1!A134</f>
        <v>R110</v>
      </c>
      <c r="B134">
        <f>Sheet1!F134</f>
        <v>45.4</v>
      </c>
      <c r="C134">
        <f>Sheet1!G134</f>
        <v>28.3</v>
      </c>
      <c r="D134" t="str">
        <f>Sheet1!E134</f>
        <v>Bottom</v>
      </c>
      <c r="E134">
        <f>ROUND(Sheet1!H134,0)</f>
        <v>0</v>
      </c>
    </row>
    <row r="135" spans="1:5" x14ac:dyDescent="0.25">
      <c r="A135" t="str">
        <f>Sheet1!A135</f>
        <v>R111</v>
      </c>
      <c r="B135">
        <f>Sheet1!F135</f>
        <v>45.4</v>
      </c>
      <c r="C135">
        <f>Sheet1!G135</f>
        <v>33.1</v>
      </c>
      <c r="D135" t="str">
        <f>Sheet1!E135</f>
        <v>Bottom</v>
      </c>
      <c r="E135">
        <f>ROUND(Sheet1!H135,0)</f>
        <v>0</v>
      </c>
    </row>
    <row r="136" spans="1:5" x14ac:dyDescent="0.25">
      <c r="A136" t="str">
        <f>Sheet1!A136</f>
        <v>R112</v>
      </c>
      <c r="B136">
        <f>Sheet1!F136</f>
        <v>60.7</v>
      </c>
      <c r="C136">
        <f>Sheet1!G136</f>
        <v>36.75</v>
      </c>
      <c r="D136" t="str">
        <f>Sheet1!E136</f>
        <v>Bottom</v>
      </c>
      <c r="E136">
        <f>ROUND(Sheet1!H136,0)</f>
        <v>0</v>
      </c>
    </row>
    <row r="137" spans="1:5" x14ac:dyDescent="0.25">
      <c r="A137" t="str">
        <f>Sheet1!A137</f>
        <v>R113</v>
      </c>
      <c r="B137">
        <f>Sheet1!F137</f>
        <v>86.5</v>
      </c>
      <c r="C137">
        <f>Sheet1!G137</f>
        <v>26.25</v>
      </c>
      <c r="D137" t="str">
        <f>Sheet1!E137</f>
        <v>Top</v>
      </c>
      <c r="E137">
        <f>ROUND(Sheet1!H137,0)</f>
        <v>0</v>
      </c>
    </row>
    <row r="138" spans="1:5" x14ac:dyDescent="0.25">
      <c r="A138" t="str">
        <f>Sheet1!A138</f>
        <v>R114</v>
      </c>
      <c r="B138">
        <f>Sheet1!F138</f>
        <v>45.4</v>
      </c>
      <c r="C138">
        <f>Sheet1!G138</f>
        <v>30</v>
      </c>
      <c r="D138" t="str">
        <f>Sheet1!E138</f>
        <v>Bottom</v>
      </c>
      <c r="E138">
        <f>ROUND(Sheet1!H138,0)</f>
        <v>-180</v>
      </c>
    </row>
    <row r="139" spans="1:5" x14ac:dyDescent="0.25">
      <c r="A139" t="str">
        <f>Sheet1!A139</f>
        <v>R115</v>
      </c>
      <c r="B139">
        <f>Sheet1!F139</f>
        <v>66.8</v>
      </c>
      <c r="C139">
        <f>Sheet1!G139</f>
        <v>28</v>
      </c>
      <c r="D139" t="str">
        <f>Sheet1!E139</f>
        <v>Bottom</v>
      </c>
      <c r="E139">
        <f>ROUND(Sheet1!H139,0)</f>
        <v>-90</v>
      </c>
    </row>
    <row r="140" spans="1:5" x14ac:dyDescent="0.25">
      <c r="A140" t="str">
        <f>Sheet1!A140</f>
        <v>R116</v>
      </c>
      <c r="B140">
        <f>Sheet1!F140</f>
        <v>86.5</v>
      </c>
      <c r="C140">
        <f>Sheet1!G140</f>
        <v>28.75</v>
      </c>
      <c r="D140" t="str">
        <f>Sheet1!E140</f>
        <v>Top</v>
      </c>
      <c r="E140">
        <f>ROUND(Sheet1!H140,0)</f>
        <v>0</v>
      </c>
    </row>
    <row r="141" spans="1:5" x14ac:dyDescent="0.25">
      <c r="A141" t="str">
        <f>Sheet1!A141</f>
        <v>R117</v>
      </c>
      <c r="B141">
        <f>Sheet1!F141</f>
        <v>86.5</v>
      </c>
      <c r="C141">
        <f>Sheet1!G141</f>
        <v>27.75</v>
      </c>
      <c r="D141" t="str">
        <f>Sheet1!E141</f>
        <v>Top</v>
      </c>
      <c r="E141">
        <f>ROUND(Sheet1!H141,0)</f>
        <v>0</v>
      </c>
    </row>
    <row r="142" spans="1:5" x14ac:dyDescent="0.25">
      <c r="A142" t="str">
        <f>Sheet1!A142</f>
        <v>R118</v>
      </c>
      <c r="B142">
        <f>Sheet1!F142</f>
        <v>71.900000000000006</v>
      </c>
      <c r="C142">
        <f>Sheet1!G142</f>
        <v>37.200000000000003</v>
      </c>
      <c r="D142" t="str">
        <f>Sheet1!E142</f>
        <v>Bottom</v>
      </c>
      <c r="E142">
        <f>ROUND(Sheet1!H142,0)</f>
        <v>-90</v>
      </c>
    </row>
    <row r="143" spans="1:5" x14ac:dyDescent="0.25">
      <c r="A143" t="str">
        <f>Sheet1!A143</f>
        <v>R119</v>
      </c>
      <c r="B143">
        <f>Sheet1!F143</f>
        <v>71.3</v>
      </c>
      <c r="C143">
        <f>Sheet1!G143</f>
        <v>35.25</v>
      </c>
      <c r="D143" t="str">
        <f>Sheet1!E143</f>
        <v>Bottom</v>
      </c>
      <c r="E143">
        <f>ROUND(Sheet1!H143,0)</f>
        <v>-90</v>
      </c>
    </row>
    <row r="144" spans="1:5" x14ac:dyDescent="0.25">
      <c r="A144" t="str">
        <f>Sheet1!A144</f>
        <v>R120</v>
      </c>
      <c r="B144">
        <f>Sheet1!F144</f>
        <v>72.5</v>
      </c>
      <c r="C144">
        <f>Sheet1!G144</f>
        <v>35.25</v>
      </c>
      <c r="D144" t="str">
        <f>Sheet1!E144</f>
        <v>Bottom</v>
      </c>
      <c r="E144">
        <f>ROUND(Sheet1!H144,0)</f>
        <v>-90</v>
      </c>
    </row>
    <row r="145" spans="1:5" x14ac:dyDescent="0.25">
      <c r="A145" t="str">
        <f>Sheet1!A145</f>
        <v>R121</v>
      </c>
      <c r="B145">
        <f>Sheet1!F145</f>
        <v>86.5</v>
      </c>
      <c r="C145">
        <f>Sheet1!G145</f>
        <v>34.25</v>
      </c>
      <c r="D145" t="str">
        <f>Sheet1!E145</f>
        <v>Top</v>
      </c>
      <c r="E145">
        <f>ROUND(Sheet1!H145,0)</f>
        <v>0</v>
      </c>
    </row>
    <row r="146" spans="1:5" x14ac:dyDescent="0.25">
      <c r="A146" t="str">
        <f>Sheet1!A146</f>
        <v>R122</v>
      </c>
      <c r="B146">
        <f>Sheet1!F146</f>
        <v>72.05</v>
      </c>
      <c r="C146">
        <f>Sheet1!G146</f>
        <v>29.05</v>
      </c>
      <c r="D146" t="str">
        <f>Sheet1!E146</f>
        <v>Top</v>
      </c>
      <c r="E146">
        <f>ROUND(Sheet1!H146,0)</f>
        <v>90</v>
      </c>
    </row>
    <row r="147" spans="1:5" x14ac:dyDescent="0.25">
      <c r="A147" t="str">
        <f>Sheet1!A147</f>
        <v>R123</v>
      </c>
      <c r="B147">
        <f>Sheet1!F147</f>
        <v>73.099999999999994</v>
      </c>
      <c r="C147">
        <f>Sheet1!G147</f>
        <v>37.200000000000003</v>
      </c>
      <c r="D147" t="str">
        <f>Sheet1!E147</f>
        <v>Bottom</v>
      </c>
      <c r="E147">
        <f>ROUND(Sheet1!H147,0)</f>
        <v>-90</v>
      </c>
    </row>
    <row r="148" spans="1:5" x14ac:dyDescent="0.25">
      <c r="A148" t="str">
        <f>Sheet1!A148</f>
        <v>R124</v>
      </c>
      <c r="B148">
        <f>Sheet1!F148</f>
        <v>70.7</v>
      </c>
      <c r="C148">
        <f>Sheet1!G148</f>
        <v>37.200000000000003</v>
      </c>
      <c r="D148" t="str">
        <f>Sheet1!E148</f>
        <v>Bottom</v>
      </c>
      <c r="E148">
        <f>ROUND(Sheet1!H148,0)</f>
        <v>-90</v>
      </c>
    </row>
    <row r="149" spans="1:5" x14ac:dyDescent="0.25">
      <c r="A149" t="str">
        <f>Sheet1!A149</f>
        <v>R125</v>
      </c>
      <c r="B149">
        <f>Sheet1!F149</f>
        <v>75.25</v>
      </c>
      <c r="C149">
        <f>Sheet1!G149</f>
        <v>23.324999999999999</v>
      </c>
      <c r="D149" t="str">
        <f>Sheet1!E149</f>
        <v>Top</v>
      </c>
      <c r="E149">
        <f>ROUND(Sheet1!H149,0)</f>
        <v>-90</v>
      </c>
    </row>
    <row r="150" spans="1:5" x14ac:dyDescent="0.25">
      <c r="A150" t="str">
        <f>Sheet1!A150</f>
        <v>R126</v>
      </c>
      <c r="B150">
        <f>Sheet1!F150</f>
        <v>57.35</v>
      </c>
      <c r="C150">
        <f>Sheet1!G150</f>
        <v>37.200000000000003</v>
      </c>
      <c r="D150" t="str">
        <f>Sheet1!E150</f>
        <v>Bottom</v>
      </c>
      <c r="E150">
        <f>ROUND(Sheet1!H150,0)</f>
        <v>0</v>
      </c>
    </row>
    <row r="151" spans="1:5" x14ac:dyDescent="0.25">
      <c r="A151" t="str">
        <f>Sheet1!A151</f>
        <v>R127</v>
      </c>
      <c r="B151">
        <f>Sheet1!F151</f>
        <v>64.7</v>
      </c>
      <c r="C151">
        <f>Sheet1!G151</f>
        <v>22.8</v>
      </c>
      <c r="D151" t="str">
        <f>Sheet1!E151</f>
        <v>Bottom</v>
      </c>
      <c r="E151">
        <f>ROUND(Sheet1!H151,0)</f>
        <v>0</v>
      </c>
    </row>
    <row r="152" spans="1:5" x14ac:dyDescent="0.25">
      <c r="A152" t="str">
        <f>Sheet1!A152</f>
        <v>R128</v>
      </c>
      <c r="B152">
        <f>Sheet1!F152</f>
        <v>73.099999999999994</v>
      </c>
      <c r="C152">
        <f>Sheet1!G152</f>
        <v>29.05</v>
      </c>
      <c r="D152" t="str">
        <f>Sheet1!E152</f>
        <v>Top</v>
      </c>
      <c r="E152">
        <f>ROUND(Sheet1!H152,0)</f>
        <v>90</v>
      </c>
    </row>
    <row r="153" spans="1:5" x14ac:dyDescent="0.25">
      <c r="A153" t="str">
        <f>Sheet1!A153</f>
        <v>R129</v>
      </c>
      <c r="B153">
        <f>Sheet1!F153</f>
        <v>92</v>
      </c>
      <c r="C153">
        <f>Sheet1!G153</f>
        <v>38</v>
      </c>
      <c r="D153" t="str">
        <f>Sheet1!E153</f>
        <v>Top</v>
      </c>
      <c r="E153">
        <f>ROUND(Sheet1!H153,0)</f>
        <v>0</v>
      </c>
    </row>
    <row r="154" spans="1:5" x14ac:dyDescent="0.25">
      <c r="A154" t="str">
        <f>Sheet1!A154</f>
        <v>R130</v>
      </c>
      <c r="B154">
        <f>Sheet1!F154</f>
        <v>73.099999999999994</v>
      </c>
      <c r="C154">
        <f>Sheet1!G154</f>
        <v>34.4</v>
      </c>
      <c r="D154" t="str">
        <f>Sheet1!E154</f>
        <v>Top</v>
      </c>
      <c r="E154">
        <f>ROUND(Sheet1!H154,0)</f>
        <v>0</v>
      </c>
    </row>
    <row r="155" spans="1:5" x14ac:dyDescent="0.25">
      <c r="A155" t="str">
        <f>Sheet1!A155</f>
        <v>R131</v>
      </c>
      <c r="B155">
        <f>Sheet1!F155</f>
        <v>74.900000000000006</v>
      </c>
      <c r="C155">
        <f>Sheet1!G155</f>
        <v>34.4</v>
      </c>
      <c r="D155" t="str">
        <f>Sheet1!E155</f>
        <v>Top</v>
      </c>
      <c r="E155">
        <f>ROUND(Sheet1!H155,0)</f>
        <v>0</v>
      </c>
    </row>
    <row r="156" spans="1:5" x14ac:dyDescent="0.25">
      <c r="A156" t="str">
        <f>Sheet1!A156</f>
        <v>R132</v>
      </c>
      <c r="B156">
        <f>Sheet1!F156</f>
        <v>86.5</v>
      </c>
      <c r="C156">
        <f>Sheet1!G156</f>
        <v>31.15</v>
      </c>
      <c r="D156" t="str">
        <f>Sheet1!E156</f>
        <v>Top</v>
      </c>
      <c r="E156">
        <f>ROUND(Sheet1!H156,0)</f>
        <v>180</v>
      </c>
    </row>
    <row r="157" spans="1:5" x14ac:dyDescent="0.25">
      <c r="A157" t="str">
        <f>Sheet1!A157</f>
        <v>R133</v>
      </c>
      <c r="B157">
        <f>Sheet1!F157</f>
        <v>86.5</v>
      </c>
      <c r="C157">
        <f>Sheet1!G157</f>
        <v>30.15</v>
      </c>
      <c r="D157" t="str">
        <f>Sheet1!E157</f>
        <v>Top</v>
      </c>
      <c r="E157">
        <f>ROUND(Sheet1!H157,0)</f>
        <v>180</v>
      </c>
    </row>
    <row r="158" spans="1:5" x14ac:dyDescent="0.25">
      <c r="A158" t="str">
        <f>Sheet1!A158</f>
        <v>R134</v>
      </c>
      <c r="B158">
        <f>Sheet1!F158</f>
        <v>94</v>
      </c>
      <c r="C158">
        <f>Sheet1!G158</f>
        <v>24.15</v>
      </c>
      <c r="D158" t="str">
        <f>Sheet1!E158</f>
        <v>Bottom</v>
      </c>
      <c r="E158">
        <f>ROUND(Sheet1!H158,0)</f>
        <v>-90</v>
      </c>
    </row>
    <row r="159" spans="1:5" x14ac:dyDescent="0.25">
      <c r="A159" t="str">
        <f>Sheet1!A159</f>
        <v>R135</v>
      </c>
      <c r="B159">
        <f>Sheet1!F159</f>
        <v>48.4</v>
      </c>
      <c r="C159">
        <f>Sheet1!G159</f>
        <v>47.15</v>
      </c>
      <c r="D159" t="str">
        <f>Sheet1!E159</f>
        <v>Top</v>
      </c>
      <c r="E159">
        <f>ROUND(Sheet1!H159,0)</f>
        <v>180</v>
      </c>
    </row>
    <row r="160" spans="1:5" x14ac:dyDescent="0.25">
      <c r="A160" t="str">
        <f>Sheet1!A160</f>
        <v>R136</v>
      </c>
      <c r="B160">
        <f>Sheet1!F160</f>
        <v>48.4</v>
      </c>
      <c r="C160">
        <f>Sheet1!G160</f>
        <v>46</v>
      </c>
      <c r="D160" t="str">
        <f>Sheet1!E160</f>
        <v>Top</v>
      </c>
      <c r="E160">
        <f>ROUND(Sheet1!H160,0)</f>
        <v>180</v>
      </c>
    </row>
    <row r="161" spans="1:5" x14ac:dyDescent="0.25">
      <c r="A161" t="str">
        <f>Sheet1!A161</f>
        <v>R137</v>
      </c>
      <c r="B161">
        <f>Sheet1!F161</f>
        <v>31.3</v>
      </c>
      <c r="C161">
        <f>Sheet1!G161</f>
        <v>32.450000000000003</v>
      </c>
      <c r="D161" t="str">
        <f>Sheet1!E161</f>
        <v>Top</v>
      </c>
      <c r="E161">
        <f>ROUND(Sheet1!H161,0)</f>
        <v>90</v>
      </c>
    </row>
    <row r="162" spans="1:5" x14ac:dyDescent="0.25">
      <c r="A162" t="str">
        <f>Sheet1!A162</f>
        <v>R138</v>
      </c>
      <c r="B162">
        <f>Sheet1!F162</f>
        <v>82.45</v>
      </c>
      <c r="C162">
        <f>Sheet1!G162</f>
        <v>23.324999999999999</v>
      </c>
      <c r="D162" t="str">
        <f>Sheet1!E162</f>
        <v>Top</v>
      </c>
      <c r="E162">
        <f>ROUND(Sheet1!H162,0)</f>
        <v>90</v>
      </c>
    </row>
    <row r="163" spans="1:5" x14ac:dyDescent="0.25">
      <c r="A163" t="str">
        <f>Sheet1!A163</f>
        <v>R139</v>
      </c>
      <c r="B163">
        <f>Sheet1!F163</f>
        <v>32.5</v>
      </c>
      <c r="C163">
        <f>Sheet1!G163</f>
        <v>23.45</v>
      </c>
      <c r="D163" t="str">
        <f>Sheet1!E163</f>
        <v>Top</v>
      </c>
      <c r="E163">
        <f>ROUND(Sheet1!H163,0)</f>
        <v>90</v>
      </c>
    </row>
    <row r="164" spans="1:5" x14ac:dyDescent="0.25">
      <c r="A164" t="str">
        <f>Sheet1!A164</f>
        <v>R401</v>
      </c>
      <c r="B164">
        <f>Sheet1!F164</f>
        <v>26.125</v>
      </c>
      <c r="C164">
        <f>Sheet1!G164</f>
        <v>21.875</v>
      </c>
      <c r="D164" t="str">
        <f>Sheet1!E164</f>
        <v>Top</v>
      </c>
      <c r="E164">
        <f>ROUND(Sheet1!H164,0)</f>
        <v>0</v>
      </c>
    </row>
    <row r="165" spans="1:5" x14ac:dyDescent="0.25">
      <c r="A165" t="str">
        <f>Sheet1!A165</f>
        <v>R402</v>
      </c>
      <c r="B165">
        <f>Sheet1!F165</f>
        <v>14.025</v>
      </c>
      <c r="C165">
        <f>Sheet1!G165</f>
        <v>58.3</v>
      </c>
      <c r="D165" t="str">
        <f>Sheet1!E165</f>
        <v>Bottom</v>
      </c>
      <c r="E165">
        <f>ROUND(Sheet1!H165,0)</f>
        <v>0</v>
      </c>
    </row>
    <row r="166" spans="1:5" x14ac:dyDescent="0.25">
      <c r="A166" t="str">
        <f>Sheet1!A166</f>
        <v>R403</v>
      </c>
      <c r="B166">
        <f>Sheet1!F166</f>
        <v>95.9</v>
      </c>
      <c r="C166">
        <f>Sheet1!G166</f>
        <v>20.2</v>
      </c>
      <c r="D166" t="str">
        <f>Sheet1!E166</f>
        <v>Top</v>
      </c>
      <c r="E166">
        <f>ROUND(Sheet1!H166,0)</f>
        <v>0</v>
      </c>
    </row>
    <row r="167" spans="1:5" x14ac:dyDescent="0.25">
      <c r="A167" t="str">
        <f>Sheet1!A167</f>
        <v>R404</v>
      </c>
      <c r="B167">
        <f>Sheet1!F167</f>
        <v>86.5</v>
      </c>
      <c r="C167">
        <f>Sheet1!G167</f>
        <v>25.25</v>
      </c>
      <c r="D167" t="str">
        <f>Sheet1!E167</f>
        <v>Top</v>
      </c>
      <c r="E167">
        <f>ROUND(Sheet1!H167,0)</f>
        <v>180</v>
      </c>
    </row>
    <row r="168" spans="1:5" x14ac:dyDescent="0.25">
      <c r="A168" t="str">
        <f>Sheet1!A168</f>
        <v>R405</v>
      </c>
      <c r="B168">
        <f>Sheet1!F168</f>
        <v>103.88500000000001</v>
      </c>
      <c r="C168">
        <f>Sheet1!G168</f>
        <v>41.55</v>
      </c>
      <c r="D168" t="str">
        <f>Sheet1!E168</f>
        <v>Bottom</v>
      </c>
      <c r="E168">
        <f>ROUND(Sheet1!H168,0)</f>
        <v>90</v>
      </c>
    </row>
    <row r="169" spans="1:5" x14ac:dyDescent="0.25">
      <c r="A169" t="str">
        <f>Sheet1!A169</f>
        <v>R406</v>
      </c>
      <c r="B169">
        <f>Sheet1!F169</f>
        <v>102.61499999999999</v>
      </c>
      <c r="C169">
        <f>Sheet1!G169</f>
        <v>41.55</v>
      </c>
      <c r="D169" t="str">
        <f>Sheet1!E169</f>
        <v>Bottom</v>
      </c>
      <c r="E169">
        <f>ROUND(Sheet1!H169,0)</f>
        <v>90</v>
      </c>
    </row>
    <row r="170" spans="1:5" x14ac:dyDescent="0.25">
      <c r="A170" t="str">
        <f>Sheet1!A170</f>
        <v>R407</v>
      </c>
      <c r="B170">
        <f>Sheet1!F170</f>
        <v>11.75</v>
      </c>
      <c r="C170">
        <f>Sheet1!G170</f>
        <v>61.125</v>
      </c>
      <c r="D170" t="str">
        <f>Sheet1!E170</f>
        <v>Top</v>
      </c>
      <c r="E170">
        <f>ROUND(Sheet1!H170,0)</f>
        <v>0</v>
      </c>
    </row>
    <row r="171" spans="1:5" x14ac:dyDescent="0.25">
      <c r="A171" t="str">
        <f>Sheet1!A171</f>
        <v>R408</v>
      </c>
      <c r="B171">
        <f>Sheet1!F171</f>
        <v>44.35</v>
      </c>
      <c r="C171">
        <f>Sheet1!G171</f>
        <v>15.9</v>
      </c>
      <c r="D171" t="str">
        <f>Sheet1!E171</f>
        <v>Bottom</v>
      </c>
      <c r="E171">
        <f>ROUND(Sheet1!H171,0)</f>
        <v>90</v>
      </c>
    </row>
    <row r="172" spans="1:5" x14ac:dyDescent="0.25">
      <c r="A172" t="str">
        <f>Sheet1!A172</f>
        <v>R409</v>
      </c>
      <c r="B172">
        <f>Sheet1!F172</f>
        <v>70.924999999999997</v>
      </c>
      <c r="C172">
        <f>Sheet1!G172</f>
        <v>16.3</v>
      </c>
      <c r="D172" t="str">
        <f>Sheet1!E172</f>
        <v>Bottom</v>
      </c>
      <c r="E172">
        <f>ROUND(Sheet1!H172,0)</f>
        <v>90</v>
      </c>
    </row>
    <row r="173" spans="1:5" x14ac:dyDescent="0.25">
      <c r="A173" t="str">
        <f>Sheet1!A173</f>
        <v>R601</v>
      </c>
      <c r="B173">
        <f>Sheet1!F173</f>
        <v>50.75</v>
      </c>
      <c r="C173">
        <f>Sheet1!G173</f>
        <v>16.024999999999999</v>
      </c>
      <c r="D173" t="str">
        <f>Sheet1!E173</f>
        <v>Top</v>
      </c>
      <c r="E173">
        <f>ROUND(Sheet1!H173,0)</f>
        <v>0</v>
      </c>
    </row>
    <row r="174" spans="1:5" x14ac:dyDescent="0.25">
      <c r="A174" t="str">
        <f>Sheet1!A174</f>
        <v>R602</v>
      </c>
      <c r="B174">
        <f>Sheet1!F174</f>
        <v>66</v>
      </c>
      <c r="C174">
        <f>Sheet1!G174</f>
        <v>17</v>
      </c>
      <c r="D174" t="str">
        <f>Sheet1!E174</f>
        <v>Top</v>
      </c>
      <c r="E174">
        <f>ROUND(Sheet1!H174,0)</f>
        <v>180</v>
      </c>
    </row>
    <row r="175" spans="1:5" x14ac:dyDescent="0.25">
      <c r="A175" t="str">
        <f>Sheet1!A175</f>
        <v>R603</v>
      </c>
      <c r="B175">
        <f>Sheet1!F175</f>
        <v>49.024999999999999</v>
      </c>
      <c r="C175">
        <f>Sheet1!G175</f>
        <v>17</v>
      </c>
      <c r="D175" t="str">
        <f>Sheet1!E175</f>
        <v>Top</v>
      </c>
      <c r="E175">
        <f>ROUND(Sheet1!H175,0)</f>
        <v>0</v>
      </c>
    </row>
    <row r="176" spans="1:5" x14ac:dyDescent="0.25">
      <c r="A176" t="str">
        <f>Sheet1!A176</f>
        <v>R604</v>
      </c>
      <c r="B176">
        <f>Sheet1!F176</f>
        <v>64.25</v>
      </c>
      <c r="C176">
        <f>Sheet1!G176</f>
        <v>16.024999999999999</v>
      </c>
      <c r="D176" t="str">
        <f>Sheet1!E176</f>
        <v>Top</v>
      </c>
      <c r="E176">
        <f>ROUND(Sheet1!H176,0)</f>
        <v>180</v>
      </c>
    </row>
    <row r="177" spans="1:5" x14ac:dyDescent="0.25">
      <c r="A177" t="str">
        <f>Sheet1!A177</f>
        <v>R605</v>
      </c>
      <c r="B177">
        <f>Sheet1!F177</f>
        <v>72.7</v>
      </c>
      <c r="C177">
        <f>Sheet1!G177</f>
        <v>21.45</v>
      </c>
      <c r="D177" t="str">
        <f>Sheet1!E177</f>
        <v>Top</v>
      </c>
      <c r="E177">
        <f>ROUND(Sheet1!H177,0)</f>
        <v>90</v>
      </c>
    </row>
    <row r="178" spans="1:5" x14ac:dyDescent="0.25">
      <c r="A178" t="str">
        <f>Sheet1!A178</f>
        <v>R606</v>
      </c>
      <c r="B178">
        <f>Sheet1!F178</f>
        <v>86.2</v>
      </c>
      <c r="C178">
        <f>Sheet1!G178</f>
        <v>17.75</v>
      </c>
      <c r="D178" t="str">
        <f>Sheet1!E178</f>
        <v>Top</v>
      </c>
      <c r="E178">
        <f>ROUND(Sheet1!H178,0)</f>
        <v>0</v>
      </c>
    </row>
    <row r="179" spans="1:5" x14ac:dyDescent="0.25">
      <c r="A179" t="str">
        <f>Sheet1!A179</f>
        <v>R607</v>
      </c>
      <c r="B179">
        <f>Sheet1!F179</f>
        <v>68.7</v>
      </c>
      <c r="C179">
        <f>Sheet1!G179</f>
        <v>21.45</v>
      </c>
      <c r="D179" t="str">
        <f>Sheet1!E179</f>
        <v>Top</v>
      </c>
      <c r="E179">
        <f>ROUND(Sheet1!H179,0)</f>
        <v>-90</v>
      </c>
    </row>
    <row r="180" spans="1:5" x14ac:dyDescent="0.25">
      <c r="A180" t="str">
        <f>Sheet1!A180</f>
        <v>R608</v>
      </c>
      <c r="B180">
        <f>Sheet1!F180</f>
        <v>69.7</v>
      </c>
      <c r="C180">
        <f>Sheet1!G180</f>
        <v>21.45</v>
      </c>
      <c r="D180" t="str">
        <f>Sheet1!E180</f>
        <v>Top</v>
      </c>
      <c r="E180">
        <f>ROUND(Sheet1!H180,0)</f>
        <v>90</v>
      </c>
    </row>
    <row r="181" spans="1:5" x14ac:dyDescent="0.25">
      <c r="A181" t="str">
        <f>Sheet1!A181</f>
        <v>R609</v>
      </c>
      <c r="B181">
        <f>Sheet1!F181</f>
        <v>86.2</v>
      </c>
      <c r="C181">
        <f>Sheet1!G181</f>
        <v>21.65</v>
      </c>
      <c r="D181" t="str">
        <f>Sheet1!E181</f>
        <v>Top</v>
      </c>
      <c r="E181">
        <f>ROUND(Sheet1!H181,0)</f>
        <v>180</v>
      </c>
    </row>
    <row r="182" spans="1:5" x14ac:dyDescent="0.25">
      <c r="A182" t="str">
        <f>Sheet1!A182</f>
        <v>R610</v>
      </c>
      <c r="B182">
        <f>Sheet1!F182</f>
        <v>86.2</v>
      </c>
      <c r="C182">
        <f>Sheet1!G182</f>
        <v>20.7</v>
      </c>
      <c r="D182" t="str">
        <f>Sheet1!E182</f>
        <v>Top</v>
      </c>
      <c r="E182">
        <f>ROUND(Sheet1!H182,0)</f>
        <v>0</v>
      </c>
    </row>
    <row r="183" spans="1:5" x14ac:dyDescent="0.25">
      <c r="A183" t="str">
        <f>Sheet1!A183</f>
        <v>R611</v>
      </c>
      <c r="B183">
        <f>Sheet1!F183</f>
        <v>51.45</v>
      </c>
      <c r="C183">
        <f>Sheet1!G183</f>
        <v>10.75</v>
      </c>
      <c r="D183" t="str">
        <f>Sheet1!E183</f>
        <v>Top</v>
      </c>
      <c r="E183">
        <f>ROUND(Sheet1!H183,0)</f>
        <v>180</v>
      </c>
    </row>
    <row r="184" spans="1:5" x14ac:dyDescent="0.25">
      <c r="A184" t="str">
        <f>Sheet1!A184</f>
        <v>R612</v>
      </c>
      <c r="B184">
        <f>Sheet1!F184</f>
        <v>63.55</v>
      </c>
      <c r="C184">
        <f>Sheet1!G184</f>
        <v>10.75</v>
      </c>
      <c r="D184" t="str">
        <f>Sheet1!E184</f>
        <v>Top</v>
      </c>
      <c r="E184">
        <f>ROUND(Sheet1!H184,0)</f>
        <v>0</v>
      </c>
    </row>
    <row r="185" spans="1:5" x14ac:dyDescent="0.25">
      <c r="A185" t="str">
        <f>Sheet1!A185</f>
        <v>S401</v>
      </c>
      <c r="B185">
        <f>Sheet1!F185</f>
        <v>11.75</v>
      </c>
      <c r="C185">
        <f>Sheet1!G185</f>
        <v>58</v>
      </c>
      <c r="D185" t="str">
        <f>Sheet1!E185</f>
        <v>Top</v>
      </c>
      <c r="E185">
        <f>ROUND(Sheet1!H185,0)</f>
        <v>90</v>
      </c>
    </row>
    <row r="186" spans="1:5" x14ac:dyDescent="0.25">
      <c r="A186" t="str">
        <f>Sheet1!A186</f>
        <v>S402</v>
      </c>
      <c r="B186">
        <f>Sheet1!F186</f>
        <v>11.75</v>
      </c>
      <c r="C186">
        <f>Sheet1!G186</f>
        <v>50.5</v>
      </c>
      <c r="D186" t="str">
        <f>Sheet1!E186</f>
        <v>Top</v>
      </c>
      <c r="E186">
        <f>ROUND(Sheet1!H186,0)</f>
        <v>90</v>
      </c>
    </row>
    <row r="187" spans="1:5" x14ac:dyDescent="0.25">
      <c r="A187" t="str">
        <f>Sheet1!A187</f>
        <v>S403</v>
      </c>
      <c r="B187">
        <f>Sheet1!F187</f>
        <v>44.05</v>
      </c>
      <c r="C187">
        <f>Sheet1!G187</f>
        <v>13.5</v>
      </c>
      <c r="D187" t="str">
        <f>Sheet1!E187</f>
        <v>Top</v>
      </c>
      <c r="E187">
        <f>ROUND(Sheet1!H187,0)</f>
        <v>-90</v>
      </c>
    </row>
    <row r="188" spans="1:5" x14ac:dyDescent="0.25">
      <c r="A188" t="str">
        <f>Sheet1!A188</f>
        <v>S404</v>
      </c>
      <c r="B188">
        <f>Sheet1!F188</f>
        <v>70.974999999999994</v>
      </c>
      <c r="C188">
        <f>Sheet1!G188</f>
        <v>13.5</v>
      </c>
      <c r="D188" t="str">
        <f>Sheet1!E188</f>
        <v>Top</v>
      </c>
      <c r="E188">
        <f>ROUND(Sheet1!H188,0)</f>
        <v>-90</v>
      </c>
    </row>
    <row r="189" spans="1:5" x14ac:dyDescent="0.25">
      <c r="A189" t="str">
        <f>Sheet1!A189</f>
        <v>S405</v>
      </c>
      <c r="B189">
        <f>Sheet1!F189</f>
        <v>103.25</v>
      </c>
      <c r="C189">
        <f>Sheet1!G189</f>
        <v>58</v>
      </c>
      <c r="D189" t="str">
        <f>Sheet1!E189</f>
        <v>Top</v>
      </c>
      <c r="E189">
        <f>ROUND(Sheet1!H189,0)</f>
        <v>90</v>
      </c>
    </row>
    <row r="190" spans="1:5" x14ac:dyDescent="0.25">
      <c r="A190" t="str">
        <f>Sheet1!A190</f>
        <v>S406</v>
      </c>
      <c r="B190">
        <f>Sheet1!F190</f>
        <v>103.25</v>
      </c>
      <c r="C190">
        <f>Sheet1!G190</f>
        <v>50.5</v>
      </c>
      <c r="D190" t="str">
        <f>Sheet1!E190</f>
        <v>Top</v>
      </c>
      <c r="E190">
        <f>ROUND(Sheet1!H190,0)</f>
        <v>90</v>
      </c>
    </row>
    <row r="191" spans="1:5" x14ac:dyDescent="0.25">
      <c r="A191" t="str">
        <f>Sheet1!A191</f>
        <v>U1</v>
      </c>
      <c r="B191">
        <f>Sheet1!F191</f>
        <v>12.6</v>
      </c>
      <c r="C191">
        <f>Sheet1!G191</f>
        <v>36.75</v>
      </c>
      <c r="D191" t="str">
        <f>Sheet1!E191</f>
        <v>Top</v>
      </c>
      <c r="E191">
        <f>ROUND(Sheet1!H191,0)</f>
        <v>-90</v>
      </c>
    </row>
    <row r="192" spans="1:5" x14ac:dyDescent="0.25">
      <c r="A192" t="str">
        <f>Sheet1!A192</f>
        <v>U2</v>
      </c>
      <c r="B192">
        <f>Sheet1!F192</f>
        <v>14.1</v>
      </c>
      <c r="C192">
        <f>Sheet1!G192</f>
        <v>29.7</v>
      </c>
      <c r="D192" t="str">
        <f>Sheet1!E192</f>
        <v>Top</v>
      </c>
      <c r="E192">
        <f>ROUND(Sheet1!H192,0)</f>
        <v>0</v>
      </c>
    </row>
    <row r="193" spans="1:5" x14ac:dyDescent="0.25">
      <c r="A193" t="str">
        <f>Sheet1!A193</f>
        <v>U3</v>
      </c>
      <c r="B193">
        <f>Sheet1!F193</f>
        <v>14.1</v>
      </c>
      <c r="C193">
        <f>Sheet1!G193</f>
        <v>21.4</v>
      </c>
      <c r="D193" t="str">
        <f>Sheet1!E193</f>
        <v>Top</v>
      </c>
      <c r="E193">
        <f>ROUND(Sheet1!H193,0)</f>
        <v>0</v>
      </c>
    </row>
    <row r="194" spans="1:5" x14ac:dyDescent="0.25">
      <c r="A194" t="str">
        <f>Sheet1!A194</f>
        <v>U4</v>
      </c>
      <c r="B194">
        <f>Sheet1!F194</f>
        <v>14.1</v>
      </c>
      <c r="C194">
        <f>Sheet1!G194</f>
        <v>13.1</v>
      </c>
      <c r="D194" t="str">
        <f>Sheet1!E194</f>
        <v>Top</v>
      </c>
      <c r="E194">
        <f>ROUND(Sheet1!H194,0)</f>
        <v>0</v>
      </c>
    </row>
    <row r="195" spans="1:5" x14ac:dyDescent="0.25">
      <c r="A195" t="str">
        <f>Sheet1!A195</f>
        <v>U101</v>
      </c>
      <c r="B195">
        <f>Sheet1!F195</f>
        <v>57.5</v>
      </c>
      <c r="C195">
        <f>Sheet1!G195</f>
        <v>50</v>
      </c>
      <c r="D195" t="str">
        <f>Sheet1!E195</f>
        <v>Top</v>
      </c>
      <c r="E195">
        <f>ROUND(Sheet1!H195,0)</f>
        <v>0</v>
      </c>
    </row>
    <row r="196" spans="1:5" x14ac:dyDescent="0.25">
      <c r="A196" t="str">
        <f>Sheet1!A196</f>
        <v>U102</v>
      </c>
      <c r="B196">
        <f>Sheet1!F196</f>
        <v>57.5</v>
      </c>
      <c r="C196">
        <f>Sheet1!G196</f>
        <v>30</v>
      </c>
      <c r="D196" t="str">
        <f>Sheet1!E196</f>
        <v>Top</v>
      </c>
      <c r="E196">
        <f>ROUND(Sheet1!H196,0)</f>
        <v>90</v>
      </c>
    </row>
    <row r="197" spans="1:5" x14ac:dyDescent="0.25">
      <c r="A197" t="str">
        <f>Sheet1!A197</f>
        <v>U103</v>
      </c>
      <c r="B197">
        <f>Sheet1!F197</f>
        <v>72.849999999999994</v>
      </c>
      <c r="C197">
        <f>Sheet1!G197</f>
        <v>32</v>
      </c>
      <c r="D197" t="str">
        <f>Sheet1!E197</f>
        <v>Top</v>
      </c>
      <c r="E197">
        <f>ROUND(Sheet1!H197,0)</f>
        <v>-90</v>
      </c>
    </row>
    <row r="198" spans="1:5" x14ac:dyDescent="0.25">
      <c r="A198" t="str">
        <f>Sheet1!A198</f>
        <v>U104</v>
      </c>
      <c r="B198">
        <f>Sheet1!F198</f>
        <v>96.85</v>
      </c>
      <c r="C198">
        <f>Sheet1!G198</f>
        <v>30.25</v>
      </c>
      <c r="D198" t="str">
        <f>Sheet1!E198</f>
        <v>Top</v>
      </c>
      <c r="E198">
        <f>ROUND(Sheet1!H198,0)</f>
        <v>-90</v>
      </c>
    </row>
    <row r="199" spans="1:5" x14ac:dyDescent="0.25">
      <c r="A199" t="str">
        <f>Sheet1!A199</f>
        <v>U301</v>
      </c>
      <c r="B199">
        <f>Sheet1!F199</f>
        <v>74.5</v>
      </c>
      <c r="C199">
        <f>Sheet1!G199</f>
        <v>47</v>
      </c>
      <c r="D199" t="str">
        <f>Sheet1!E199</f>
        <v>Top</v>
      </c>
      <c r="E199">
        <f>ROUND(Sheet1!H199,0)</f>
        <v>0</v>
      </c>
    </row>
    <row r="200" spans="1:5" x14ac:dyDescent="0.25">
      <c r="A200" t="str">
        <f>Sheet1!A200</f>
        <v>U302</v>
      </c>
      <c r="B200">
        <f>Sheet1!F200</f>
        <v>82.5</v>
      </c>
      <c r="C200">
        <f>Sheet1!G200</f>
        <v>47</v>
      </c>
      <c r="D200" t="str">
        <f>Sheet1!E200</f>
        <v>Top</v>
      </c>
      <c r="E200">
        <f>ROUND(Sheet1!H200,0)</f>
        <v>0</v>
      </c>
    </row>
    <row r="201" spans="1:5" x14ac:dyDescent="0.25">
      <c r="A201" t="str">
        <f>Sheet1!A201</f>
        <v>U303</v>
      </c>
      <c r="B201">
        <f>Sheet1!F201</f>
        <v>32.5</v>
      </c>
      <c r="C201">
        <f>Sheet1!G201</f>
        <v>47</v>
      </c>
      <c r="D201" t="str">
        <f>Sheet1!E201</f>
        <v>Top</v>
      </c>
      <c r="E201">
        <f>ROUND(Sheet1!H201,0)</f>
        <v>180</v>
      </c>
    </row>
    <row r="202" spans="1:5" x14ac:dyDescent="0.25">
      <c r="A202" t="str">
        <f>Sheet1!A202</f>
        <v>U304</v>
      </c>
      <c r="B202">
        <f>Sheet1!F202</f>
        <v>40.5</v>
      </c>
      <c r="C202">
        <f>Sheet1!G202</f>
        <v>47</v>
      </c>
      <c r="D202" t="str">
        <f>Sheet1!E202</f>
        <v>Top</v>
      </c>
      <c r="E202">
        <f>ROUND(Sheet1!H202,0)</f>
        <v>180</v>
      </c>
    </row>
    <row r="203" spans="1:5" x14ac:dyDescent="0.25">
      <c r="A203" t="str">
        <f>Sheet1!A203</f>
        <v>U601</v>
      </c>
      <c r="B203">
        <f>Sheet1!F203</f>
        <v>70.7</v>
      </c>
      <c r="C203">
        <f>Sheet1!G203</f>
        <v>19.062999999999999</v>
      </c>
      <c r="D203" t="str">
        <f>Sheet1!E203</f>
        <v>Top</v>
      </c>
      <c r="E203">
        <f>ROUND(Sheet1!H203,0)</f>
        <v>0</v>
      </c>
    </row>
    <row r="204" spans="1:5" x14ac:dyDescent="0.25">
      <c r="A204" t="str">
        <f>Sheet1!A204</f>
        <v>U602</v>
      </c>
      <c r="B204">
        <f>Sheet1!F204</f>
        <v>83.8</v>
      </c>
      <c r="C204">
        <f>Sheet1!G204</f>
        <v>19.75</v>
      </c>
      <c r="D204" t="str">
        <f>Sheet1!E204</f>
        <v>Top</v>
      </c>
      <c r="E204">
        <f>ROUND(Sheet1!H204,0)</f>
        <v>-90</v>
      </c>
    </row>
    <row r="205" spans="1:5" x14ac:dyDescent="0.25">
      <c r="A205" t="str">
        <f>Sheet1!A205</f>
        <v>Y101</v>
      </c>
      <c r="B205">
        <f>Sheet1!F205</f>
        <v>47.25</v>
      </c>
      <c r="C205">
        <f>Sheet1!G205</f>
        <v>50</v>
      </c>
      <c r="D205" t="str">
        <f>Sheet1!E205</f>
        <v>Top</v>
      </c>
      <c r="E205">
        <f>ROUND(Sheet1!H205,0)</f>
        <v>-90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E41D-DBBC-4941-B2C8-EC6C9FECF311}">
  <dimension ref="A1:H205"/>
  <sheetViews>
    <sheetView workbookViewId="0">
      <selection activeCell="C16" sqref="C16"/>
    </sheetView>
  </sheetViews>
  <sheetFormatPr defaultRowHeight="15" x14ac:dyDescent="0.25"/>
  <cols>
    <col min="1" max="1" width="7" bestFit="1" customWidth="1"/>
    <col min="2" max="2" width="32.5703125" bestFit="1" customWidth="1"/>
    <col min="3" max="3" width="23.42578125" bestFit="1" customWidth="1"/>
    <col min="4" max="4" width="5.85546875" bestFit="1" customWidth="1"/>
    <col min="5" max="6" width="8" bestFit="1" customWidth="1"/>
    <col min="7" max="7" width="7" bestFit="1" customWidth="1"/>
    <col min="8" max="8" width="8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b">
        <v>1</v>
      </c>
      <c r="E2" t="s">
        <v>11</v>
      </c>
      <c r="F2">
        <v>15.8</v>
      </c>
      <c r="G2">
        <v>37.700000000000003</v>
      </c>
      <c r="H2">
        <v>0</v>
      </c>
    </row>
    <row r="3" spans="1:8" x14ac:dyDescent="0.25">
      <c r="A3" t="s">
        <v>12</v>
      </c>
      <c r="B3" t="s">
        <v>9</v>
      </c>
      <c r="C3" t="s">
        <v>13</v>
      </c>
      <c r="D3" t="b">
        <v>1</v>
      </c>
      <c r="E3" t="s">
        <v>11</v>
      </c>
      <c r="F3">
        <v>11.6</v>
      </c>
      <c r="G3">
        <v>29.7</v>
      </c>
      <c r="H3">
        <v>-90</v>
      </c>
    </row>
    <row r="4" spans="1:8" x14ac:dyDescent="0.25">
      <c r="A4" t="s">
        <v>14</v>
      </c>
      <c r="B4" t="s">
        <v>15</v>
      </c>
      <c r="C4" t="s">
        <v>16</v>
      </c>
      <c r="D4" t="b">
        <v>1</v>
      </c>
      <c r="E4" t="s">
        <v>11</v>
      </c>
      <c r="F4">
        <v>14.1</v>
      </c>
      <c r="G4">
        <v>34.424999999999997</v>
      </c>
      <c r="H4">
        <v>180</v>
      </c>
    </row>
    <row r="5" spans="1:8" x14ac:dyDescent="0.25">
      <c r="A5" t="s">
        <v>17</v>
      </c>
      <c r="B5" t="s">
        <v>9</v>
      </c>
      <c r="C5" t="s">
        <v>18</v>
      </c>
      <c r="D5" t="b">
        <v>1</v>
      </c>
      <c r="E5" t="s">
        <v>11</v>
      </c>
      <c r="F5">
        <v>17.3</v>
      </c>
      <c r="G5">
        <v>34.4</v>
      </c>
      <c r="H5">
        <v>180</v>
      </c>
    </row>
    <row r="6" spans="1:8" x14ac:dyDescent="0.25">
      <c r="A6" t="s">
        <v>19</v>
      </c>
      <c r="B6" t="s">
        <v>9</v>
      </c>
      <c r="C6" t="s">
        <v>18</v>
      </c>
      <c r="D6" t="b">
        <v>1</v>
      </c>
      <c r="E6" t="s">
        <v>11</v>
      </c>
      <c r="F6">
        <v>17.3</v>
      </c>
      <c r="G6">
        <v>32.524999999999999</v>
      </c>
      <c r="H6">
        <v>180</v>
      </c>
    </row>
    <row r="7" spans="1:8" x14ac:dyDescent="0.25">
      <c r="A7" t="s">
        <v>20</v>
      </c>
      <c r="B7" t="s">
        <v>9</v>
      </c>
      <c r="C7" t="s">
        <v>13</v>
      </c>
      <c r="D7" t="b">
        <v>1</v>
      </c>
      <c r="E7" t="s">
        <v>11</v>
      </c>
      <c r="F7">
        <v>11.6</v>
      </c>
      <c r="G7">
        <v>21.4</v>
      </c>
      <c r="H7">
        <v>-90</v>
      </c>
    </row>
    <row r="8" spans="1:8" x14ac:dyDescent="0.25">
      <c r="A8" t="s">
        <v>21</v>
      </c>
      <c r="B8" t="s">
        <v>15</v>
      </c>
      <c r="C8" t="s">
        <v>16</v>
      </c>
      <c r="D8" t="b">
        <v>1</v>
      </c>
      <c r="E8" t="s">
        <v>11</v>
      </c>
      <c r="F8">
        <v>14.1</v>
      </c>
      <c r="G8">
        <v>26.15</v>
      </c>
      <c r="H8">
        <v>180</v>
      </c>
    </row>
    <row r="9" spans="1:8" x14ac:dyDescent="0.25">
      <c r="A9" t="s">
        <v>22</v>
      </c>
      <c r="B9" t="s">
        <v>9</v>
      </c>
      <c r="C9" t="s">
        <v>18</v>
      </c>
      <c r="D9" t="b">
        <v>1</v>
      </c>
      <c r="E9" t="s">
        <v>11</v>
      </c>
      <c r="F9">
        <v>17.3</v>
      </c>
      <c r="G9">
        <v>24.225000000000001</v>
      </c>
      <c r="H9">
        <v>180</v>
      </c>
    </row>
    <row r="10" spans="1:8" x14ac:dyDescent="0.25">
      <c r="A10" t="s">
        <v>23</v>
      </c>
      <c r="B10" t="s">
        <v>9</v>
      </c>
      <c r="C10" t="s">
        <v>18</v>
      </c>
      <c r="D10" t="b">
        <v>1</v>
      </c>
      <c r="E10" t="s">
        <v>11</v>
      </c>
      <c r="F10">
        <v>17.3</v>
      </c>
      <c r="G10">
        <v>26.1</v>
      </c>
      <c r="H10">
        <v>180</v>
      </c>
    </row>
    <row r="11" spans="1:8" x14ac:dyDescent="0.25">
      <c r="A11" t="s">
        <v>24</v>
      </c>
      <c r="B11" t="s">
        <v>9</v>
      </c>
      <c r="C11" t="s">
        <v>13</v>
      </c>
      <c r="D11" t="b">
        <v>1</v>
      </c>
      <c r="E11" t="s">
        <v>11</v>
      </c>
      <c r="F11">
        <v>11.6</v>
      </c>
      <c r="G11">
        <v>13.1</v>
      </c>
      <c r="H11">
        <v>-90</v>
      </c>
    </row>
    <row r="12" spans="1:8" x14ac:dyDescent="0.25">
      <c r="A12" t="s">
        <v>25</v>
      </c>
      <c r="B12" t="s">
        <v>15</v>
      </c>
      <c r="C12" t="s">
        <v>16</v>
      </c>
      <c r="D12" t="b">
        <v>1</v>
      </c>
      <c r="E12" t="s">
        <v>11</v>
      </c>
      <c r="F12">
        <v>14.1</v>
      </c>
      <c r="G12">
        <v>17.824999999999999</v>
      </c>
      <c r="H12">
        <v>180</v>
      </c>
    </row>
    <row r="13" spans="1:8" x14ac:dyDescent="0.25">
      <c r="A13" t="s">
        <v>26</v>
      </c>
      <c r="B13" t="s">
        <v>9</v>
      </c>
      <c r="C13" t="s">
        <v>18</v>
      </c>
      <c r="D13" t="b">
        <v>1</v>
      </c>
      <c r="E13" t="s">
        <v>11</v>
      </c>
      <c r="F13">
        <v>17.3</v>
      </c>
      <c r="G13">
        <v>17.8</v>
      </c>
      <c r="H13">
        <v>180</v>
      </c>
    </row>
    <row r="14" spans="1:8" x14ac:dyDescent="0.25">
      <c r="A14" t="s">
        <v>27</v>
      </c>
      <c r="B14" t="s">
        <v>9</v>
      </c>
      <c r="C14" t="s">
        <v>18</v>
      </c>
      <c r="D14" t="b">
        <v>1</v>
      </c>
      <c r="E14" t="s">
        <v>11</v>
      </c>
      <c r="F14">
        <v>17.3</v>
      </c>
      <c r="G14">
        <v>15.925000000000001</v>
      </c>
      <c r="H14">
        <v>180</v>
      </c>
    </row>
    <row r="15" spans="1:8" x14ac:dyDescent="0.25">
      <c r="A15" t="s">
        <v>28</v>
      </c>
      <c r="B15" t="s">
        <v>15</v>
      </c>
      <c r="C15" t="s">
        <v>29</v>
      </c>
      <c r="D15" t="b">
        <v>1</v>
      </c>
      <c r="E15" t="s">
        <v>11</v>
      </c>
      <c r="F15">
        <v>49.6</v>
      </c>
      <c r="G15">
        <v>48.55</v>
      </c>
      <c r="H15">
        <v>90.01</v>
      </c>
    </row>
    <row r="16" spans="1:8" x14ac:dyDescent="0.25">
      <c r="A16" t="s">
        <v>30</v>
      </c>
      <c r="B16" t="s">
        <v>9</v>
      </c>
      <c r="C16" t="s">
        <v>31</v>
      </c>
      <c r="D16" t="b">
        <v>1</v>
      </c>
      <c r="E16" t="s">
        <v>32</v>
      </c>
      <c r="F16">
        <v>50.35</v>
      </c>
      <c r="G16">
        <v>45.15</v>
      </c>
      <c r="H16">
        <v>180</v>
      </c>
    </row>
    <row r="17" spans="1:8" x14ac:dyDescent="0.25">
      <c r="A17" t="s">
        <v>33</v>
      </c>
      <c r="B17" t="s">
        <v>9</v>
      </c>
      <c r="C17" t="s">
        <v>31</v>
      </c>
      <c r="D17" t="b">
        <v>1</v>
      </c>
      <c r="E17" t="s">
        <v>32</v>
      </c>
      <c r="F17">
        <v>50.35</v>
      </c>
      <c r="G17">
        <v>46.6</v>
      </c>
      <c r="H17">
        <v>180</v>
      </c>
    </row>
    <row r="18" spans="1:8" x14ac:dyDescent="0.25">
      <c r="A18" t="s">
        <v>34</v>
      </c>
      <c r="B18" t="s">
        <v>9</v>
      </c>
      <c r="C18" t="s">
        <v>10</v>
      </c>
      <c r="D18" t="b">
        <v>1</v>
      </c>
      <c r="E18" t="s">
        <v>32</v>
      </c>
      <c r="F18">
        <v>50.35</v>
      </c>
      <c r="G18">
        <v>52.174999999999997</v>
      </c>
      <c r="H18">
        <v>180</v>
      </c>
    </row>
    <row r="19" spans="1:8" x14ac:dyDescent="0.25">
      <c r="A19" t="s">
        <v>35</v>
      </c>
      <c r="B19" t="s">
        <v>9</v>
      </c>
      <c r="C19" t="s">
        <v>10</v>
      </c>
      <c r="D19" t="b">
        <v>1</v>
      </c>
      <c r="E19" t="s">
        <v>32</v>
      </c>
      <c r="F19">
        <v>55.725000000000001</v>
      </c>
      <c r="G19">
        <v>52.924999999999997</v>
      </c>
      <c r="H19">
        <v>0</v>
      </c>
    </row>
    <row r="20" spans="1:8" x14ac:dyDescent="0.25">
      <c r="A20" t="s">
        <v>36</v>
      </c>
      <c r="B20" t="s">
        <v>9</v>
      </c>
      <c r="C20" t="s">
        <v>10</v>
      </c>
      <c r="D20" t="b">
        <v>1</v>
      </c>
      <c r="E20" t="s">
        <v>32</v>
      </c>
      <c r="F20">
        <v>55.05</v>
      </c>
      <c r="G20">
        <v>50.975000000000001</v>
      </c>
      <c r="H20">
        <v>0</v>
      </c>
    </row>
    <row r="21" spans="1:8" x14ac:dyDescent="0.25">
      <c r="A21" t="s">
        <v>37</v>
      </c>
      <c r="B21" t="s">
        <v>9</v>
      </c>
      <c r="C21" t="s">
        <v>10</v>
      </c>
      <c r="D21" t="b">
        <v>1</v>
      </c>
      <c r="E21" t="s">
        <v>32</v>
      </c>
      <c r="F21">
        <v>59.975000000000001</v>
      </c>
      <c r="G21">
        <v>47.725000000000001</v>
      </c>
      <c r="H21">
        <v>180</v>
      </c>
    </row>
    <row r="22" spans="1:8" x14ac:dyDescent="0.25">
      <c r="A22" t="s">
        <v>38</v>
      </c>
      <c r="B22" t="s">
        <v>9</v>
      </c>
      <c r="C22" t="s">
        <v>10</v>
      </c>
      <c r="D22" t="b">
        <v>1</v>
      </c>
      <c r="E22" t="s">
        <v>32</v>
      </c>
      <c r="F22">
        <v>61.575000000000003</v>
      </c>
      <c r="G22">
        <v>50.975000000000001</v>
      </c>
      <c r="H22">
        <v>0</v>
      </c>
    </row>
    <row r="23" spans="1:8" x14ac:dyDescent="0.25">
      <c r="A23" t="s">
        <v>39</v>
      </c>
      <c r="B23" t="s">
        <v>9</v>
      </c>
      <c r="C23" t="s">
        <v>10</v>
      </c>
      <c r="D23" t="b">
        <v>1</v>
      </c>
      <c r="E23" t="s">
        <v>32</v>
      </c>
      <c r="F23">
        <v>55.875</v>
      </c>
      <c r="G23">
        <v>47.575000000000003</v>
      </c>
      <c r="H23">
        <v>90</v>
      </c>
    </row>
    <row r="24" spans="1:8" x14ac:dyDescent="0.25">
      <c r="A24" t="s">
        <v>40</v>
      </c>
      <c r="B24" t="s">
        <v>9</v>
      </c>
      <c r="C24" t="s">
        <v>10</v>
      </c>
      <c r="D24" t="b">
        <v>1</v>
      </c>
      <c r="E24" t="s">
        <v>32</v>
      </c>
      <c r="F24">
        <v>58.475000000000001</v>
      </c>
      <c r="G24">
        <v>47.575000000000003</v>
      </c>
      <c r="H24">
        <v>90</v>
      </c>
    </row>
    <row r="25" spans="1:8" x14ac:dyDescent="0.25">
      <c r="A25" t="s">
        <v>41</v>
      </c>
      <c r="B25" t="s">
        <v>9</v>
      </c>
      <c r="C25" t="s">
        <v>31</v>
      </c>
      <c r="D25" t="b">
        <v>1</v>
      </c>
      <c r="E25" t="s">
        <v>32</v>
      </c>
      <c r="F25">
        <v>50.35</v>
      </c>
      <c r="G25">
        <v>48.05</v>
      </c>
      <c r="H25">
        <v>180</v>
      </c>
    </row>
    <row r="26" spans="1:8" x14ac:dyDescent="0.25">
      <c r="A26" t="s">
        <v>42</v>
      </c>
      <c r="B26" t="s">
        <v>9</v>
      </c>
      <c r="C26" t="s">
        <v>10</v>
      </c>
      <c r="D26" t="b">
        <v>1</v>
      </c>
      <c r="E26" t="s">
        <v>32</v>
      </c>
      <c r="F26">
        <v>53.924999999999997</v>
      </c>
      <c r="G26">
        <v>54.25</v>
      </c>
      <c r="H26">
        <v>180</v>
      </c>
    </row>
    <row r="27" spans="1:8" x14ac:dyDescent="0.25">
      <c r="A27" t="s">
        <v>43</v>
      </c>
      <c r="B27" t="s">
        <v>9</v>
      </c>
      <c r="C27" t="s">
        <v>13</v>
      </c>
      <c r="D27" t="b">
        <v>1</v>
      </c>
      <c r="E27" t="s">
        <v>32</v>
      </c>
      <c r="F27">
        <v>50.35</v>
      </c>
      <c r="G27">
        <v>49.5</v>
      </c>
      <c r="H27">
        <v>180</v>
      </c>
    </row>
    <row r="28" spans="1:8" x14ac:dyDescent="0.25">
      <c r="A28" t="s">
        <v>44</v>
      </c>
      <c r="B28" t="s">
        <v>9</v>
      </c>
      <c r="C28" t="s">
        <v>10</v>
      </c>
      <c r="D28" t="b">
        <v>1</v>
      </c>
      <c r="E28" t="s">
        <v>32</v>
      </c>
      <c r="F28">
        <v>55.725000000000001</v>
      </c>
      <c r="G28">
        <v>51.924999999999997</v>
      </c>
      <c r="H28">
        <v>0</v>
      </c>
    </row>
    <row r="29" spans="1:8" x14ac:dyDescent="0.25">
      <c r="A29" t="s">
        <v>45</v>
      </c>
      <c r="B29" t="s">
        <v>9</v>
      </c>
      <c r="C29" t="s">
        <v>10</v>
      </c>
      <c r="D29" t="b">
        <v>1</v>
      </c>
      <c r="E29" t="s">
        <v>32</v>
      </c>
      <c r="F29">
        <v>59.75</v>
      </c>
      <c r="G29">
        <v>50.875</v>
      </c>
      <c r="H29">
        <v>-90</v>
      </c>
    </row>
    <row r="30" spans="1:8" x14ac:dyDescent="0.25">
      <c r="A30" t="s">
        <v>46</v>
      </c>
      <c r="B30" t="s">
        <v>15</v>
      </c>
      <c r="C30" t="s">
        <v>16</v>
      </c>
      <c r="D30" t="b">
        <v>1</v>
      </c>
      <c r="E30" t="s">
        <v>11</v>
      </c>
      <c r="F30">
        <v>49.6</v>
      </c>
      <c r="G30">
        <v>51.2</v>
      </c>
      <c r="H30">
        <v>-90</v>
      </c>
    </row>
    <row r="31" spans="1:8" x14ac:dyDescent="0.25">
      <c r="A31" t="s">
        <v>47</v>
      </c>
      <c r="B31" t="s">
        <v>9</v>
      </c>
      <c r="C31" t="s">
        <v>10</v>
      </c>
      <c r="D31" t="b">
        <v>1</v>
      </c>
      <c r="E31" t="s">
        <v>32</v>
      </c>
      <c r="F31">
        <v>59.25</v>
      </c>
      <c r="G31">
        <v>52.2</v>
      </c>
      <c r="H31">
        <v>180</v>
      </c>
    </row>
    <row r="32" spans="1:8" x14ac:dyDescent="0.25">
      <c r="A32" t="s">
        <v>48</v>
      </c>
      <c r="B32" t="s">
        <v>9</v>
      </c>
      <c r="C32" t="s">
        <v>31</v>
      </c>
      <c r="D32" t="b">
        <v>1</v>
      </c>
      <c r="E32" t="s">
        <v>32</v>
      </c>
      <c r="F32">
        <v>50.35</v>
      </c>
      <c r="G32">
        <v>50.975000000000001</v>
      </c>
      <c r="H32">
        <v>180</v>
      </c>
    </row>
    <row r="33" spans="1:8" x14ac:dyDescent="0.25">
      <c r="A33" t="s">
        <v>49</v>
      </c>
      <c r="B33" t="s">
        <v>9</v>
      </c>
      <c r="C33" t="s">
        <v>10</v>
      </c>
      <c r="D33" t="b">
        <v>1</v>
      </c>
      <c r="E33" t="s">
        <v>32</v>
      </c>
      <c r="F33">
        <v>59.75</v>
      </c>
      <c r="G33">
        <v>49.024999999999999</v>
      </c>
      <c r="H33">
        <v>-90</v>
      </c>
    </row>
    <row r="34" spans="1:8" x14ac:dyDescent="0.25">
      <c r="A34" t="s">
        <v>50</v>
      </c>
      <c r="B34" t="s">
        <v>9</v>
      </c>
      <c r="C34" t="s">
        <v>31</v>
      </c>
      <c r="D34" t="b">
        <v>1</v>
      </c>
      <c r="E34" t="s">
        <v>32</v>
      </c>
      <c r="F34">
        <v>62.15</v>
      </c>
      <c r="G34">
        <v>54.875</v>
      </c>
      <c r="H34">
        <v>0.01</v>
      </c>
    </row>
    <row r="35" spans="1:8" x14ac:dyDescent="0.25">
      <c r="A35" t="s">
        <v>51</v>
      </c>
      <c r="B35" t="s">
        <v>9</v>
      </c>
      <c r="C35" t="s">
        <v>52</v>
      </c>
      <c r="D35" t="b">
        <v>1</v>
      </c>
      <c r="E35" t="s">
        <v>32</v>
      </c>
      <c r="F35">
        <v>53.924999999999997</v>
      </c>
      <c r="G35">
        <v>55.174999999999997</v>
      </c>
      <c r="H35">
        <v>-179.99</v>
      </c>
    </row>
    <row r="36" spans="1:8" x14ac:dyDescent="0.25">
      <c r="A36" t="s">
        <v>53</v>
      </c>
      <c r="B36" t="s">
        <v>9</v>
      </c>
      <c r="C36" t="s">
        <v>52</v>
      </c>
      <c r="D36" t="b">
        <v>1</v>
      </c>
      <c r="E36" t="s">
        <v>32</v>
      </c>
      <c r="F36">
        <v>62.225000000000001</v>
      </c>
      <c r="G36">
        <v>43.424999999999997</v>
      </c>
      <c r="H36">
        <v>0.01</v>
      </c>
    </row>
    <row r="37" spans="1:8" x14ac:dyDescent="0.25">
      <c r="A37" t="s">
        <v>54</v>
      </c>
      <c r="B37" t="s">
        <v>9</v>
      </c>
      <c r="C37" t="s">
        <v>55</v>
      </c>
      <c r="D37" t="b">
        <v>1</v>
      </c>
      <c r="E37" t="s">
        <v>32</v>
      </c>
      <c r="F37">
        <v>55.05</v>
      </c>
      <c r="G37">
        <v>49.024999999999999</v>
      </c>
      <c r="H37">
        <v>0</v>
      </c>
    </row>
    <row r="38" spans="1:8" x14ac:dyDescent="0.25">
      <c r="A38" t="s">
        <v>56</v>
      </c>
      <c r="B38" t="s">
        <v>9</v>
      </c>
      <c r="C38" t="s">
        <v>52</v>
      </c>
      <c r="D38" t="b">
        <v>1</v>
      </c>
      <c r="E38" t="s">
        <v>32</v>
      </c>
      <c r="F38">
        <v>62.225000000000001</v>
      </c>
      <c r="G38">
        <v>44.375</v>
      </c>
      <c r="H38">
        <v>0.01</v>
      </c>
    </row>
    <row r="39" spans="1:8" x14ac:dyDescent="0.25">
      <c r="A39" t="s">
        <v>57</v>
      </c>
      <c r="B39" t="s">
        <v>9</v>
      </c>
      <c r="C39" t="s">
        <v>10</v>
      </c>
      <c r="D39" t="b">
        <v>1</v>
      </c>
      <c r="E39" t="s">
        <v>32</v>
      </c>
      <c r="F39">
        <v>54.575000000000003</v>
      </c>
      <c r="G39">
        <v>47.075000000000003</v>
      </c>
      <c r="H39">
        <v>-90</v>
      </c>
    </row>
    <row r="40" spans="1:8" x14ac:dyDescent="0.25">
      <c r="A40" t="s">
        <v>58</v>
      </c>
      <c r="B40" t="s">
        <v>15</v>
      </c>
      <c r="C40" t="s">
        <v>29</v>
      </c>
      <c r="D40" t="b">
        <v>1</v>
      </c>
      <c r="E40" t="s">
        <v>32</v>
      </c>
      <c r="F40">
        <v>65.2</v>
      </c>
      <c r="G40">
        <v>30</v>
      </c>
      <c r="H40">
        <v>-90</v>
      </c>
    </row>
    <row r="41" spans="1:8" x14ac:dyDescent="0.25">
      <c r="A41" t="s">
        <v>59</v>
      </c>
      <c r="B41" t="s">
        <v>15</v>
      </c>
      <c r="C41" t="s">
        <v>29</v>
      </c>
      <c r="D41" t="b">
        <v>1</v>
      </c>
      <c r="E41" t="s">
        <v>32</v>
      </c>
      <c r="F41">
        <v>62.9</v>
      </c>
      <c r="G41">
        <v>38.200000000000003</v>
      </c>
      <c r="H41">
        <v>0</v>
      </c>
    </row>
    <row r="42" spans="1:8" x14ac:dyDescent="0.25">
      <c r="A42" t="s">
        <v>60</v>
      </c>
      <c r="B42" t="s">
        <v>9</v>
      </c>
      <c r="C42" t="s">
        <v>10</v>
      </c>
      <c r="D42" t="b">
        <v>1</v>
      </c>
      <c r="E42" t="s">
        <v>32</v>
      </c>
      <c r="F42">
        <v>61.3</v>
      </c>
      <c r="G42">
        <v>29.8</v>
      </c>
      <c r="H42">
        <v>-45</v>
      </c>
    </row>
    <row r="43" spans="1:8" x14ac:dyDescent="0.25">
      <c r="A43" t="s">
        <v>61</v>
      </c>
      <c r="B43" t="s">
        <v>9</v>
      </c>
      <c r="C43" t="s">
        <v>10</v>
      </c>
      <c r="D43" t="b">
        <v>1</v>
      </c>
      <c r="E43" t="s">
        <v>32</v>
      </c>
      <c r="F43">
        <v>62.9</v>
      </c>
      <c r="G43">
        <v>39.174999999999997</v>
      </c>
      <c r="H43">
        <v>0</v>
      </c>
    </row>
    <row r="44" spans="1:8" x14ac:dyDescent="0.25">
      <c r="A44" t="s">
        <v>62</v>
      </c>
      <c r="B44" t="s">
        <v>15</v>
      </c>
      <c r="C44" t="s">
        <v>29</v>
      </c>
      <c r="D44" t="b">
        <v>1</v>
      </c>
      <c r="E44" t="s">
        <v>32</v>
      </c>
      <c r="F44">
        <v>51.2</v>
      </c>
      <c r="G44">
        <v>28.3</v>
      </c>
      <c r="H44">
        <v>0.01</v>
      </c>
    </row>
    <row r="45" spans="1:8" x14ac:dyDescent="0.25">
      <c r="A45" t="s">
        <v>63</v>
      </c>
      <c r="B45" t="s">
        <v>9</v>
      </c>
      <c r="C45" t="s">
        <v>10</v>
      </c>
      <c r="D45" t="b">
        <v>1</v>
      </c>
      <c r="E45" t="s">
        <v>32</v>
      </c>
      <c r="F45">
        <v>54.3</v>
      </c>
      <c r="G45">
        <v>28.8</v>
      </c>
      <c r="H45">
        <v>-90</v>
      </c>
    </row>
    <row r="46" spans="1:8" x14ac:dyDescent="0.25">
      <c r="A46" t="s">
        <v>64</v>
      </c>
      <c r="B46" t="s">
        <v>9</v>
      </c>
      <c r="C46" t="s">
        <v>18</v>
      </c>
      <c r="D46" t="b">
        <v>1</v>
      </c>
      <c r="E46" t="s">
        <v>11</v>
      </c>
      <c r="F46">
        <v>47.5</v>
      </c>
      <c r="G46">
        <v>34.85</v>
      </c>
      <c r="H46">
        <v>-179.99</v>
      </c>
    </row>
    <row r="47" spans="1:8" x14ac:dyDescent="0.25">
      <c r="A47" t="s">
        <v>65</v>
      </c>
      <c r="B47" t="s">
        <v>9</v>
      </c>
      <c r="C47" t="s">
        <v>10</v>
      </c>
      <c r="D47" t="b">
        <v>1</v>
      </c>
      <c r="E47" t="s">
        <v>32</v>
      </c>
      <c r="F47">
        <v>59.5</v>
      </c>
      <c r="G47">
        <v>24.4</v>
      </c>
      <c r="H47">
        <v>180</v>
      </c>
    </row>
    <row r="48" spans="1:8" x14ac:dyDescent="0.25">
      <c r="A48" t="s">
        <v>66</v>
      </c>
      <c r="B48" t="s">
        <v>9</v>
      </c>
      <c r="C48" t="s">
        <v>10</v>
      </c>
      <c r="D48" t="b">
        <v>1</v>
      </c>
      <c r="E48" t="s">
        <v>32</v>
      </c>
      <c r="F48">
        <v>59.2</v>
      </c>
      <c r="G48">
        <v>28</v>
      </c>
      <c r="H48">
        <v>90</v>
      </c>
    </row>
    <row r="49" spans="1:8" x14ac:dyDescent="0.25">
      <c r="A49" t="s">
        <v>67</v>
      </c>
      <c r="B49" t="s">
        <v>15</v>
      </c>
      <c r="C49" t="s">
        <v>29</v>
      </c>
      <c r="D49" t="b">
        <v>1</v>
      </c>
      <c r="E49" t="s">
        <v>32</v>
      </c>
      <c r="F49">
        <v>49.95</v>
      </c>
      <c r="G49">
        <v>33.6</v>
      </c>
      <c r="H49">
        <v>90</v>
      </c>
    </row>
    <row r="50" spans="1:8" x14ac:dyDescent="0.25">
      <c r="A50" t="s">
        <v>68</v>
      </c>
      <c r="B50" t="s">
        <v>9</v>
      </c>
      <c r="C50" t="s">
        <v>10</v>
      </c>
      <c r="D50" t="b">
        <v>1</v>
      </c>
      <c r="E50" t="s">
        <v>32</v>
      </c>
      <c r="F50">
        <v>55.475000000000001</v>
      </c>
      <c r="G50">
        <v>27.975000000000001</v>
      </c>
      <c r="H50">
        <v>45</v>
      </c>
    </row>
    <row r="51" spans="1:8" x14ac:dyDescent="0.25">
      <c r="A51" t="s">
        <v>69</v>
      </c>
      <c r="B51" t="s">
        <v>9</v>
      </c>
      <c r="C51" t="s">
        <v>10</v>
      </c>
      <c r="D51" t="b">
        <v>1</v>
      </c>
      <c r="E51" t="s">
        <v>32</v>
      </c>
      <c r="F51">
        <v>48.975000000000001</v>
      </c>
      <c r="G51">
        <v>33.6</v>
      </c>
      <c r="H51">
        <v>90</v>
      </c>
    </row>
    <row r="52" spans="1:8" x14ac:dyDescent="0.25">
      <c r="A52" t="s">
        <v>70</v>
      </c>
      <c r="B52" t="s">
        <v>9</v>
      </c>
      <c r="C52" t="s">
        <v>10</v>
      </c>
      <c r="D52" t="b">
        <v>1</v>
      </c>
      <c r="E52" t="s">
        <v>32</v>
      </c>
      <c r="F52">
        <v>55.5</v>
      </c>
      <c r="G52">
        <v>31.2</v>
      </c>
      <c r="H52">
        <v>-45</v>
      </c>
    </row>
    <row r="53" spans="1:8" x14ac:dyDescent="0.25">
      <c r="A53" t="s">
        <v>71</v>
      </c>
      <c r="B53" t="s">
        <v>9</v>
      </c>
      <c r="C53" t="s">
        <v>10</v>
      </c>
      <c r="D53" t="b">
        <v>1</v>
      </c>
      <c r="E53" t="s">
        <v>32</v>
      </c>
      <c r="F53">
        <v>58.8</v>
      </c>
      <c r="G53">
        <v>31.3</v>
      </c>
      <c r="H53">
        <v>-135</v>
      </c>
    </row>
    <row r="54" spans="1:8" x14ac:dyDescent="0.25">
      <c r="A54" t="s">
        <v>72</v>
      </c>
      <c r="B54" t="s">
        <v>9</v>
      </c>
      <c r="C54" t="s">
        <v>10</v>
      </c>
      <c r="D54" t="b">
        <v>1</v>
      </c>
      <c r="E54" t="s">
        <v>32</v>
      </c>
      <c r="F54">
        <v>52</v>
      </c>
      <c r="G54">
        <v>30</v>
      </c>
      <c r="H54">
        <v>0</v>
      </c>
    </row>
    <row r="55" spans="1:8" x14ac:dyDescent="0.25">
      <c r="A55" t="s">
        <v>73</v>
      </c>
      <c r="B55" t="s">
        <v>9</v>
      </c>
      <c r="C55" t="s">
        <v>10</v>
      </c>
      <c r="D55" t="b">
        <v>1</v>
      </c>
      <c r="E55" t="s">
        <v>32</v>
      </c>
      <c r="F55">
        <v>58.7</v>
      </c>
      <c r="G55">
        <v>29.4</v>
      </c>
      <c r="H55">
        <v>180</v>
      </c>
    </row>
    <row r="56" spans="1:8" x14ac:dyDescent="0.25">
      <c r="A56" t="s">
        <v>74</v>
      </c>
      <c r="B56" t="s">
        <v>9</v>
      </c>
      <c r="C56" t="s">
        <v>10</v>
      </c>
      <c r="D56" t="b">
        <v>1</v>
      </c>
      <c r="E56" t="s">
        <v>32</v>
      </c>
      <c r="F56">
        <v>50.924999999999997</v>
      </c>
      <c r="G56">
        <v>33.6</v>
      </c>
      <c r="H56">
        <v>-90</v>
      </c>
    </row>
    <row r="57" spans="1:8" x14ac:dyDescent="0.25">
      <c r="A57" t="s">
        <v>75</v>
      </c>
      <c r="B57" t="s">
        <v>9</v>
      </c>
      <c r="C57" t="s">
        <v>10</v>
      </c>
      <c r="D57" t="b">
        <v>1</v>
      </c>
      <c r="E57" t="s">
        <v>32</v>
      </c>
      <c r="F57">
        <v>63.5</v>
      </c>
      <c r="G57">
        <v>28.8</v>
      </c>
      <c r="H57">
        <v>-90</v>
      </c>
    </row>
    <row r="58" spans="1:8" x14ac:dyDescent="0.25">
      <c r="A58" t="s">
        <v>76</v>
      </c>
      <c r="B58" t="s">
        <v>9</v>
      </c>
      <c r="C58" t="s">
        <v>10</v>
      </c>
      <c r="D58" t="b">
        <v>1</v>
      </c>
      <c r="E58" t="s">
        <v>32</v>
      </c>
      <c r="F58">
        <v>50.85</v>
      </c>
      <c r="G58">
        <v>25.6</v>
      </c>
      <c r="H58">
        <v>90</v>
      </c>
    </row>
    <row r="59" spans="1:8" x14ac:dyDescent="0.25">
      <c r="A59" t="s">
        <v>77</v>
      </c>
      <c r="B59" t="s">
        <v>9</v>
      </c>
      <c r="C59" t="s">
        <v>10</v>
      </c>
      <c r="D59" t="b">
        <v>1</v>
      </c>
      <c r="E59" t="s">
        <v>32</v>
      </c>
      <c r="F59">
        <v>63.375</v>
      </c>
      <c r="G59">
        <v>25.2</v>
      </c>
      <c r="H59">
        <v>0</v>
      </c>
    </row>
    <row r="60" spans="1:8" x14ac:dyDescent="0.25">
      <c r="A60" t="s">
        <v>78</v>
      </c>
      <c r="B60" t="s">
        <v>9</v>
      </c>
      <c r="C60" t="s">
        <v>10</v>
      </c>
      <c r="D60" t="b">
        <v>1</v>
      </c>
      <c r="E60" t="s">
        <v>32</v>
      </c>
      <c r="F60">
        <v>55.4</v>
      </c>
      <c r="G60">
        <v>29.7</v>
      </c>
      <c r="H60">
        <v>-45</v>
      </c>
    </row>
    <row r="61" spans="1:8" x14ac:dyDescent="0.25">
      <c r="A61" t="s">
        <v>79</v>
      </c>
      <c r="B61" t="s">
        <v>9</v>
      </c>
      <c r="C61" t="s">
        <v>10</v>
      </c>
      <c r="D61" t="b">
        <v>1</v>
      </c>
      <c r="E61" t="s">
        <v>32</v>
      </c>
      <c r="F61">
        <v>63.9</v>
      </c>
      <c r="G61">
        <v>33.6</v>
      </c>
      <c r="H61">
        <v>-90</v>
      </c>
    </row>
    <row r="62" spans="1:8" x14ac:dyDescent="0.25">
      <c r="A62" t="s">
        <v>80</v>
      </c>
      <c r="B62" t="s">
        <v>9</v>
      </c>
      <c r="C62" t="s">
        <v>10</v>
      </c>
      <c r="D62" t="b">
        <v>1</v>
      </c>
      <c r="E62" t="s">
        <v>11</v>
      </c>
      <c r="F62">
        <v>74.150000000000006</v>
      </c>
      <c r="G62">
        <v>29.05</v>
      </c>
      <c r="H62">
        <v>-90</v>
      </c>
    </row>
    <row r="63" spans="1:8" x14ac:dyDescent="0.25">
      <c r="A63" t="s">
        <v>81</v>
      </c>
      <c r="B63" t="s">
        <v>9</v>
      </c>
      <c r="C63" t="s">
        <v>10</v>
      </c>
      <c r="D63" t="b">
        <v>1</v>
      </c>
      <c r="E63" t="s">
        <v>32</v>
      </c>
      <c r="F63">
        <v>53.5</v>
      </c>
      <c r="G63">
        <v>35.6</v>
      </c>
      <c r="H63">
        <v>0</v>
      </c>
    </row>
    <row r="64" spans="1:8" x14ac:dyDescent="0.25">
      <c r="A64" t="s">
        <v>82</v>
      </c>
      <c r="B64" t="s">
        <v>9</v>
      </c>
      <c r="C64" t="s">
        <v>10</v>
      </c>
      <c r="D64" t="b">
        <v>1</v>
      </c>
      <c r="E64" t="s">
        <v>32</v>
      </c>
      <c r="F64">
        <v>54.3</v>
      </c>
      <c r="G64">
        <v>22.9</v>
      </c>
      <c r="H64">
        <v>-90</v>
      </c>
    </row>
    <row r="65" spans="1:8" x14ac:dyDescent="0.25">
      <c r="A65" t="s">
        <v>83</v>
      </c>
      <c r="B65" t="s">
        <v>9</v>
      </c>
      <c r="C65" t="s">
        <v>10</v>
      </c>
      <c r="D65" t="b">
        <v>1</v>
      </c>
      <c r="E65" t="s">
        <v>32</v>
      </c>
      <c r="F65">
        <v>57</v>
      </c>
      <c r="G65">
        <v>31.3</v>
      </c>
      <c r="H65">
        <v>-45</v>
      </c>
    </row>
    <row r="66" spans="1:8" x14ac:dyDescent="0.25">
      <c r="A66" t="s">
        <v>84</v>
      </c>
      <c r="B66" t="s">
        <v>9</v>
      </c>
      <c r="C66" t="s">
        <v>10</v>
      </c>
      <c r="D66" t="b">
        <v>1</v>
      </c>
      <c r="E66" t="s">
        <v>32</v>
      </c>
      <c r="F66">
        <v>61.5</v>
      </c>
      <c r="G66">
        <v>22.9</v>
      </c>
      <c r="H66">
        <v>-90</v>
      </c>
    </row>
    <row r="67" spans="1:8" x14ac:dyDescent="0.25">
      <c r="A67" t="s">
        <v>85</v>
      </c>
      <c r="B67" t="s">
        <v>9</v>
      </c>
      <c r="C67" t="s">
        <v>10</v>
      </c>
      <c r="D67" t="b">
        <v>1</v>
      </c>
      <c r="E67" t="s">
        <v>32</v>
      </c>
      <c r="F67">
        <v>57.5</v>
      </c>
      <c r="G67">
        <v>35.6</v>
      </c>
      <c r="H67">
        <v>0</v>
      </c>
    </row>
    <row r="68" spans="1:8" x14ac:dyDescent="0.25">
      <c r="A68" t="s">
        <v>86</v>
      </c>
      <c r="B68" t="s">
        <v>9</v>
      </c>
      <c r="C68" t="s">
        <v>10</v>
      </c>
      <c r="D68" t="b">
        <v>1</v>
      </c>
      <c r="E68" t="s">
        <v>32</v>
      </c>
      <c r="F68">
        <v>56.8</v>
      </c>
      <c r="G68">
        <v>28</v>
      </c>
      <c r="H68">
        <v>45</v>
      </c>
    </row>
    <row r="69" spans="1:8" x14ac:dyDescent="0.25">
      <c r="A69" t="s">
        <v>87</v>
      </c>
      <c r="B69" t="s">
        <v>9</v>
      </c>
      <c r="C69" t="s">
        <v>10</v>
      </c>
      <c r="D69" t="b">
        <v>1</v>
      </c>
      <c r="E69" t="s">
        <v>32</v>
      </c>
      <c r="F69">
        <v>60.7</v>
      </c>
      <c r="G69">
        <v>35.799999999999997</v>
      </c>
      <c r="H69">
        <v>180</v>
      </c>
    </row>
    <row r="70" spans="1:8" x14ac:dyDescent="0.25">
      <c r="A70" t="s">
        <v>88</v>
      </c>
      <c r="B70" t="s">
        <v>9</v>
      </c>
      <c r="C70" t="s">
        <v>10</v>
      </c>
      <c r="D70" t="b">
        <v>1</v>
      </c>
      <c r="E70" t="s">
        <v>32</v>
      </c>
      <c r="F70">
        <v>58.3</v>
      </c>
      <c r="G70">
        <v>28</v>
      </c>
      <c r="H70">
        <v>90</v>
      </c>
    </row>
    <row r="71" spans="1:8" x14ac:dyDescent="0.25">
      <c r="A71" t="s">
        <v>89</v>
      </c>
      <c r="B71" t="s">
        <v>9</v>
      </c>
      <c r="C71" t="s">
        <v>55</v>
      </c>
      <c r="D71" t="b">
        <v>1</v>
      </c>
      <c r="E71" t="s">
        <v>11</v>
      </c>
      <c r="F71">
        <v>92</v>
      </c>
      <c r="G71">
        <v>38.9</v>
      </c>
      <c r="H71">
        <v>180</v>
      </c>
    </row>
    <row r="72" spans="1:8" x14ac:dyDescent="0.25">
      <c r="A72" t="s">
        <v>90</v>
      </c>
      <c r="B72" t="s">
        <v>9</v>
      </c>
      <c r="C72" t="s">
        <v>10</v>
      </c>
      <c r="D72" t="b">
        <v>1</v>
      </c>
      <c r="E72" t="s">
        <v>11</v>
      </c>
      <c r="F72">
        <v>47.25</v>
      </c>
      <c r="G72">
        <v>53.15</v>
      </c>
      <c r="H72">
        <v>180</v>
      </c>
    </row>
    <row r="73" spans="1:8" x14ac:dyDescent="0.25">
      <c r="A73" t="s">
        <v>91</v>
      </c>
      <c r="B73" t="s">
        <v>9</v>
      </c>
      <c r="C73" t="s">
        <v>10</v>
      </c>
      <c r="D73" t="b">
        <v>1</v>
      </c>
      <c r="E73" t="s">
        <v>11</v>
      </c>
      <c r="F73">
        <v>96.875</v>
      </c>
      <c r="G73">
        <v>37.700000000000003</v>
      </c>
      <c r="H73">
        <v>0</v>
      </c>
    </row>
    <row r="74" spans="1:8" x14ac:dyDescent="0.25">
      <c r="A74" t="s">
        <v>92</v>
      </c>
      <c r="B74" t="s">
        <v>9</v>
      </c>
      <c r="C74" t="s">
        <v>18</v>
      </c>
      <c r="D74" t="b">
        <v>1</v>
      </c>
      <c r="E74" t="s">
        <v>11</v>
      </c>
      <c r="F74">
        <v>94.174999999999997</v>
      </c>
      <c r="G74">
        <v>38.725000000000001</v>
      </c>
      <c r="H74">
        <v>90</v>
      </c>
    </row>
    <row r="75" spans="1:8" x14ac:dyDescent="0.25">
      <c r="A75" t="s">
        <v>93</v>
      </c>
      <c r="B75" t="s">
        <v>9</v>
      </c>
      <c r="C75" t="s">
        <v>10</v>
      </c>
      <c r="D75" t="b">
        <v>1</v>
      </c>
      <c r="E75" t="s">
        <v>11</v>
      </c>
      <c r="F75">
        <v>71.599999999999994</v>
      </c>
      <c r="G75">
        <v>48</v>
      </c>
      <c r="H75">
        <v>-90</v>
      </c>
    </row>
    <row r="76" spans="1:8" x14ac:dyDescent="0.25">
      <c r="A76" t="s">
        <v>94</v>
      </c>
      <c r="B76" t="s">
        <v>9</v>
      </c>
      <c r="C76" t="s">
        <v>10</v>
      </c>
      <c r="D76" t="b">
        <v>1</v>
      </c>
      <c r="E76" t="s">
        <v>11</v>
      </c>
      <c r="F76">
        <v>79.599999999999994</v>
      </c>
      <c r="G76">
        <v>48</v>
      </c>
      <c r="H76">
        <v>-90</v>
      </c>
    </row>
    <row r="77" spans="1:8" x14ac:dyDescent="0.25">
      <c r="A77" t="s">
        <v>95</v>
      </c>
      <c r="B77" t="s">
        <v>9</v>
      </c>
      <c r="C77" t="s">
        <v>10</v>
      </c>
      <c r="D77" t="b">
        <v>1</v>
      </c>
      <c r="E77" t="s">
        <v>11</v>
      </c>
      <c r="F77">
        <v>35.4</v>
      </c>
      <c r="G77">
        <v>46</v>
      </c>
      <c r="H77">
        <v>90</v>
      </c>
    </row>
    <row r="78" spans="1:8" x14ac:dyDescent="0.25">
      <c r="A78" t="s">
        <v>96</v>
      </c>
      <c r="B78" t="s">
        <v>9</v>
      </c>
      <c r="C78" t="s">
        <v>10</v>
      </c>
      <c r="D78" t="b">
        <v>1</v>
      </c>
      <c r="E78" t="s">
        <v>11</v>
      </c>
      <c r="F78">
        <v>43.4</v>
      </c>
      <c r="G78">
        <v>46</v>
      </c>
      <c r="H78">
        <v>90</v>
      </c>
    </row>
    <row r="79" spans="1:8" x14ac:dyDescent="0.25">
      <c r="A79" t="s">
        <v>97</v>
      </c>
      <c r="B79" t="s">
        <v>9</v>
      </c>
      <c r="C79" t="s">
        <v>31</v>
      </c>
      <c r="D79" t="b">
        <v>1</v>
      </c>
      <c r="E79" t="s">
        <v>11</v>
      </c>
      <c r="F79">
        <v>96.7</v>
      </c>
      <c r="G79">
        <v>16.2</v>
      </c>
      <c r="H79">
        <v>-90</v>
      </c>
    </row>
    <row r="80" spans="1:8" x14ac:dyDescent="0.25">
      <c r="A80" t="s">
        <v>98</v>
      </c>
      <c r="B80" t="s">
        <v>9</v>
      </c>
      <c r="C80" t="s">
        <v>10</v>
      </c>
      <c r="D80" t="b">
        <v>1</v>
      </c>
      <c r="E80" t="s">
        <v>11</v>
      </c>
      <c r="F80">
        <v>98</v>
      </c>
      <c r="G80">
        <v>16.399999999999999</v>
      </c>
      <c r="H80">
        <v>-90</v>
      </c>
    </row>
    <row r="81" spans="1:8" x14ac:dyDescent="0.25">
      <c r="A81" t="s">
        <v>99</v>
      </c>
      <c r="B81" t="s">
        <v>9</v>
      </c>
      <c r="C81" t="s">
        <v>55</v>
      </c>
      <c r="D81" t="b">
        <v>1</v>
      </c>
      <c r="E81" t="s">
        <v>11</v>
      </c>
      <c r="F81">
        <v>71.7</v>
      </c>
      <c r="G81">
        <v>21.45</v>
      </c>
      <c r="H81">
        <v>90</v>
      </c>
    </row>
    <row r="82" spans="1:8" x14ac:dyDescent="0.25">
      <c r="A82" t="s">
        <v>100</v>
      </c>
      <c r="B82" t="s">
        <v>9</v>
      </c>
      <c r="C82" t="s">
        <v>55</v>
      </c>
      <c r="D82" t="b">
        <v>1</v>
      </c>
      <c r="E82" t="s">
        <v>11</v>
      </c>
      <c r="F82">
        <v>86.2</v>
      </c>
      <c r="G82">
        <v>18.75</v>
      </c>
      <c r="H82">
        <v>0</v>
      </c>
    </row>
    <row r="83" spans="1:8" x14ac:dyDescent="0.25">
      <c r="A83" t="s">
        <v>101</v>
      </c>
      <c r="B83" t="s">
        <v>9</v>
      </c>
      <c r="C83" t="s">
        <v>10</v>
      </c>
      <c r="D83" t="b">
        <v>1</v>
      </c>
      <c r="E83" t="s">
        <v>11</v>
      </c>
      <c r="F83">
        <v>70.7</v>
      </c>
      <c r="G83">
        <v>21.45</v>
      </c>
      <c r="H83">
        <v>90</v>
      </c>
    </row>
    <row r="84" spans="1:8" x14ac:dyDescent="0.25">
      <c r="A84" t="s">
        <v>102</v>
      </c>
      <c r="B84" t="s">
        <v>9</v>
      </c>
      <c r="C84" t="s">
        <v>10</v>
      </c>
      <c r="D84" t="b">
        <v>1</v>
      </c>
      <c r="E84" t="s">
        <v>11</v>
      </c>
      <c r="F84">
        <v>86.2</v>
      </c>
      <c r="G84">
        <v>19.75</v>
      </c>
      <c r="H84">
        <v>0</v>
      </c>
    </row>
    <row r="85" spans="1:8" x14ac:dyDescent="0.25">
      <c r="A85" t="s">
        <v>103</v>
      </c>
      <c r="B85" t="s">
        <v>104</v>
      </c>
      <c r="C85" t="s">
        <v>105</v>
      </c>
      <c r="D85" t="b">
        <v>1</v>
      </c>
      <c r="E85" t="s">
        <v>11</v>
      </c>
      <c r="F85">
        <v>19.8</v>
      </c>
      <c r="G85">
        <v>16.7</v>
      </c>
      <c r="H85">
        <v>90</v>
      </c>
    </row>
    <row r="86" spans="1:8" x14ac:dyDescent="0.25">
      <c r="A86" t="s">
        <v>106</v>
      </c>
      <c r="B86" t="s">
        <v>104</v>
      </c>
      <c r="C86" t="s">
        <v>105</v>
      </c>
      <c r="D86" t="b">
        <v>1</v>
      </c>
      <c r="E86" t="s">
        <v>11</v>
      </c>
      <c r="F86">
        <v>19.850000000000001</v>
      </c>
      <c r="G86">
        <v>12.9</v>
      </c>
      <c r="H86">
        <v>90</v>
      </c>
    </row>
    <row r="87" spans="1:8" x14ac:dyDescent="0.25">
      <c r="A87" t="s">
        <v>107</v>
      </c>
      <c r="B87" t="s">
        <v>104</v>
      </c>
      <c r="C87" t="s">
        <v>108</v>
      </c>
      <c r="D87" t="b">
        <v>1</v>
      </c>
      <c r="E87" t="s">
        <v>11</v>
      </c>
      <c r="F87">
        <v>82.45</v>
      </c>
      <c r="G87">
        <v>32.450000000000003</v>
      </c>
      <c r="H87">
        <v>-90</v>
      </c>
    </row>
    <row r="88" spans="1:8" x14ac:dyDescent="0.25">
      <c r="A88" t="s">
        <v>109</v>
      </c>
      <c r="B88" t="s">
        <v>110</v>
      </c>
      <c r="C88" t="s">
        <v>111</v>
      </c>
      <c r="D88" t="b">
        <v>1</v>
      </c>
      <c r="E88" t="s">
        <v>32</v>
      </c>
      <c r="F88">
        <v>42.8</v>
      </c>
      <c r="G88">
        <v>31.524999999999999</v>
      </c>
      <c r="H88">
        <v>-89.99</v>
      </c>
    </row>
    <row r="89" spans="1:8" x14ac:dyDescent="0.25">
      <c r="A89" t="s">
        <v>112</v>
      </c>
      <c r="B89" t="s">
        <v>104</v>
      </c>
      <c r="C89" t="s">
        <v>113</v>
      </c>
      <c r="D89" t="b">
        <v>1</v>
      </c>
      <c r="E89" t="s">
        <v>11</v>
      </c>
      <c r="F89">
        <v>32.5</v>
      </c>
      <c r="G89">
        <v>32.450000000000003</v>
      </c>
      <c r="H89">
        <v>-90</v>
      </c>
    </row>
    <row r="90" spans="1:8" x14ac:dyDescent="0.25">
      <c r="A90" t="s">
        <v>114</v>
      </c>
      <c r="B90" t="s">
        <v>104</v>
      </c>
      <c r="C90" t="s">
        <v>115</v>
      </c>
      <c r="D90" t="b">
        <v>1</v>
      </c>
      <c r="E90" t="s">
        <v>11</v>
      </c>
      <c r="F90">
        <v>82.45</v>
      </c>
      <c r="G90">
        <v>26</v>
      </c>
      <c r="H90">
        <v>90</v>
      </c>
    </row>
    <row r="91" spans="1:8" x14ac:dyDescent="0.25">
      <c r="A91" t="s">
        <v>116</v>
      </c>
      <c r="B91" t="s">
        <v>104</v>
      </c>
      <c r="C91" t="s">
        <v>117</v>
      </c>
      <c r="D91" t="b">
        <v>1</v>
      </c>
      <c r="E91" t="s">
        <v>11</v>
      </c>
      <c r="F91">
        <v>32.5</v>
      </c>
      <c r="G91">
        <v>26</v>
      </c>
      <c r="H91">
        <v>90</v>
      </c>
    </row>
    <row r="92" spans="1:8" x14ac:dyDescent="0.25">
      <c r="A92" t="s">
        <v>118</v>
      </c>
      <c r="B92" t="s">
        <v>104</v>
      </c>
      <c r="C92" t="s">
        <v>108</v>
      </c>
      <c r="D92" t="b">
        <v>1</v>
      </c>
      <c r="E92" t="s">
        <v>11</v>
      </c>
      <c r="F92">
        <v>55.9</v>
      </c>
      <c r="G92">
        <v>10.75</v>
      </c>
      <c r="H92">
        <v>180</v>
      </c>
    </row>
    <row r="93" spans="1:8" x14ac:dyDescent="0.25">
      <c r="A93" t="s">
        <v>119</v>
      </c>
      <c r="B93" t="s">
        <v>104</v>
      </c>
      <c r="C93" t="s">
        <v>108</v>
      </c>
      <c r="D93" t="b">
        <v>1</v>
      </c>
      <c r="E93" t="s">
        <v>11</v>
      </c>
      <c r="F93">
        <v>59</v>
      </c>
      <c r="G93">
        <v>10.75</v>
      </c>
      <c r="H93">
        <v>0</v>
      </c>
    </row>
    <row r="94" spans="1:8" x14ac:dyDescent="0.25">
      <c r="A94" t="s">
        <v>120</v>
      </c>
      <c r="B94" t="s">
        <v>121</v>
      </c>
      <c r="C94" t="s">
        <v>122</v>
      </c>
      <c r="D94" t="b">
        <v>1</v>
      </c>
      <c r="E94" t="s">
        <v>11</v>
      </c>
      <c r="F94">
        <v>12.875</v>
      </c>
      <c r="G94">
        <v>42.575000000000003</v>
      </c>
      <c r="H94">
        <v>-90</v>
      </c>
    </row>
    <row r="95" spans="1:8" x14ac:dyDescent="0.25">
      <c r="A95" t="s">
        <v>123</v>
      </c>
      <c r="B95" t="s">
        <v>124</v>
      </c>
      <c r="C95" t="s">
        <v>125</v>
      </c>
      <c r="D95" t="b">
        <v>1</v>
      </c>
      <c r="E95" t="s">
        <v>11</v>
      </c>
      <c r="F95">
        <v>27.5</v>
      </c>
      <c r="G95">
        <v>26</v>
      </c>
      <c r="H95">
        <v>-90</v>
      </c>
    </row>
    <row r="96" spans="1:8" x14ac:dyDescent="0.25">
      <c r="A96" t="s">
        <v>126</v>
      </c>
      <c r="B96" t="s">
        <v>127</v>
      </c>
      <c r="C96" t="s">
        <v>128</v>
      </c>
      <c r="D96" t="b">
        <v>1</v>
      </c>
      <c r="E96" t="s">
        <v>11</v>
      </c>
      <c r="F96">
        <v>57.5</v>
      </c>
      <c r="G96">
        <v>19.3</v>
      </c>
      <c r="H96">
        <v>180</v>
      </c>
    </row>
    <row r="97" spans="1:8" x14ac:dyDescent="0.25">
      <c r="A97" t="s">
        <v>129</v>
      </c>
      <c r="B97" t="s">
        <v>130</v>
      </c>
      <c r="C97" t="s">
        <v>131</v>
      </c>
      <c r="D97" t="b">
        <v>1</v>
      </c>
      <c r="E97" t="s">
        <v>32</v>
      </c>
      <c r="F97">
        <v>17.5</v>
      </c>
      <c r="G97">
        <v>48.5</v>
      </c>
      <c r="H97">
        <v>-90</v>
      </c>
    </row>
    <row r="98" spans="1:8" x14ac:dyDescent="0.25">
      <c r="A98" t="s">
        <v>132</v>
      </c>
      <c r="B98" t="s">
        <v>127</v>
      </c>
      <c r="C98" t="s">
        <v>128</v>
      </c>
      <c r="D98" t="b">
        <v>1</v>
      </c>
      <c r="E98" t="s">
        <v>11</v>
      </c>
      <c r="F98">
        <v>78.8</v>
      </c>
      <c r="G98">
        <v>26.6</v>
      </c>
      <c r="H98">
        <v>90</v>
      </c>
    </row>
    <row r="99" spans="1:8" x14ac:dyDescent="0.25">
      <c r="A99" t="s">
        <v>133</v>
      </c>
      <c r="B99" t="s">
        <v>130</v>
      </c>
      <c r="C99" t="s">
        <v>131</v>
      </c>
      <c r="D99" t="b">
        <v>1</v>
      </c>
      <c r="E99" t="s">
        <v>32</v>
      </c>
      <c r="F99">
        <v>97.5</v>
      </c>
      <c r="G99">
        <v>48.5</v>
      </c>
      <c r="H99">
        <v>-90</v>
      </c>
    </row>
    <row r="100" spans="1:8" x14ac:dyDescent="0.25">
      <c r="A100" t="s">
        <v>134</v>
      </c>
      <c r="B100" t="s">
        <v>135</v>
      </c>
      <c r="C100" t="s">
        <v>136</v>
      </c>
      <c r="D100" t="b">
        <v>1</v>
      </c>
      <c r="E100" t="s">
        <v>11</v>
      </c>
      <c r="F100">
        <v>101.797</v>
      </c>
      <c r="G100">
        <v>17.100000000000001</v>
      </c>
      <c r="H100">
        <v>-90</v>
      </c>
    </row>
    <row r="101" spans="1:8" x14ac:dyDescent="0.25">
      <c r="A101" t="s">
        <v>137</v>
      </c>
      <c r="B101" t="s">
        <v>127</v>
      </c>
      <c r="C101" t="s">
        <v>128</v>
      </c>
      <c r="D101" t="b">
        <v>1</v>
      </c>
      <c r="E101" t="s">
        <v>11</v>
      </c>
      <c r="F101">
        <v>36.200000000000003</v>
      </c>
      <c r="G101">
        <v>26.6</v>
      </c>
      <c r="H101">
        <v>90</v>
      </c>
    </row>
    <row r="102" spans="1:8" x14ac:dyDescent="0.25">
      <c r="A102" t="s">
        <v>138</v>
      </c>
      <c r="B102" t="s">
        <v>130</v>
      </c>
      <c r="C102" t="s">
        <v>131</v>
      </c>
      <c r="D102" t="b">
        <v>1</v>
      </c>
      <c r="E102" t="s">
        <v>32</v>
      </c>
      <c r="F102">
        <v>32.5</v>
      </c>
      <c r="G102">
        <v>14.5</v>
      </c>
      <c r="H102">
        <v>0</v>
      </c>
    </row>
    <row r="103" spans="1:8" x14ac:dyDescent="0.25">
      <c r="A103" t="s">
        <v>139</v>
      </c>
      <c r="B103" t="s">
        <v>127</v>
      </c>
      <c r="C103" t="s">
        <v>140</v>
      </c>
      <c r="D103" t="b">
        <v>1</v>
      </c>
      <c r="E103" t="s">
        <v>11</v>
      </c>
      <c r="F103">
        <v>103.25</v>
      </c>
      <c r="G103">
        <v>41.55</v>
      </c>
      <c r="H103">
        <v>180</v>
      </c>
    </row>
    <row r="104" spans="1:8" x14ac:dyDescent="0.25">
      <c r="A104" t="s">
        <v>141</v>
      </c>
      <c r="B104" t="s">
        <v>130</v>
      </c>
      <c r="C104" t="s">
        <v>131</v>
      </c>
      <c r="D104" t="b">
        <v>1</v>
      </c>
      <c r="E104" t="s">
        <v>32</v>
      </c>
      <c r="F104">
        <v>82.5</v>
      </c>
      <c r="G104">
        <v>14.5</v>
      </c>
      <c r="H104">
        <v>0</v>
      </c>
    </row>
    <row r="105" spans="1:8" x14ac:dyDescent="0.25">
      <c r="A105" t="s">
        <v>142</v>
      </c>
      <c r="B105" t="s">
        <v>143</v>
      </c>
      <c r="C105" t="s">
        <v>144</v>
      </c>
      <c r="D105" t="b">
        <v>1</v>
      </c>
      <c r="E105" t="s">
        <v>11</v>
      </c>
      <c r="F105">
        <v>50.75</v>
      </c>
      <c r="G105">
        <v>13.5</v>
      </c>
      <c r="H105">
        <v>180</v>
      </c>
    </row>
    <row r="106" spans="1:8" x14ac:dyDescent="0.25">
      <c r="A106" t="s">
        <v>145</v>
      </c>
      <c r="B106" t="s">
        <v>143</v>
      </c>
      <c r="C106" t="s">
        <v>144</v>
      </c>
      <c r="D106" t="b">
        <v>1</v>
      </c>
      <c r="E106" t="s">
        <v>11</v>
      </c>
      <c r="F106">
        <v>64.25</v>
      </c>
      <c r="G106">
        <v>13.5</v>
      </c>
      <c r="H106">
        <v>180</v>
      </c>
    </row>
    <row r="107" spans="1:8" x14ac:dyDescent="0.25">
      <c r="A107" t="s">
        <v>146</v>
      </c>
      <c r="B107" t="s">
        <v>147</v>
      </c>
      <c r="C107" t="s">
        <v>148</v>
      </c>
      <c r="D107" t="b">
        <v>1</v>
      </c>
      <c r="E107" t="s">
        <v>11</v>
      </c>
      <c r="F107">
        <v>17.600000000000001</v>
      </c>
      <c r="G107">
        <v>29.5</v>
      </c>
      <c r="H107">
        <v>90</v>
      </c>
    </row>
    <row r="108" spans="1:8" x14ac:dyDescent="0.25">
      <c r="A108" t="s">
        <v>149</v>
      </c>
      <c r="B108" t="s">
        <v>147</v>
      </c>
      <c r="C108" t="s">
        <v>148</v>
      </c>
      <c r="D108" t="b">
        <v>1</v>
      </c>
      <c r="E108" t="s">
        <v>11</v>
      </c>
      <c r="F108">
        <v>17.600000000000001</v>
      </c>
      <c r="G108">
        <v>21.2</v>
      </c>
      <c r="H108">
        <v>90</v>
      </c>
    </row>
    <row r="109" spans="1:8" x14ac:dyDescent="0.25">
      <c r="A109" t="s">
        <v>150</v>
      </c>
      <c r="B109" t="s">
        <v>147</v>
      </c>
      <c r="C109" t="s">
        <v>148</v>
      </c>
      <c r="D109" t="b">
        <v>1</v>
      </c>
      <c r="E109" t="s">
        <v>11</v>
      </c>
      <c r="F109">
        <v>17.600000000000001</v>
      </c>
      <c r="G109">
        <v>12.9</v>
      </c>
      <c r="H109">
        <v>90</v>
      </c>
    </row>
    <row r="110" spans="1:8" x14ac:dyDescent="0.25">
      <c r="A110" t="s">
        <v>151</v>
      </c>
      <c r="B110" t="s">
        <v>152</v>
      </c>
      <c r="C110" t="s">
        <v>153</v>
      </c>
      <c r="D110" t="b">
        <v>1</v>
      </c>
      <c r="E110" t="s">
        <v>11</v>
      </c>
      <c r="F110">
        <v>51.1</v>
      </c>
      <c r="G110">
        <v>51.225000000000001</v>
      </c>
      <c r="H110">
        <v>-90</v>
      </c>
    </row>
    <row r="111" spans="1:8" x14ac:dyDescent="0.25">
      <c r="A111" t="s">
        <v>154</v>
      </c>
      <c r="B111" t="s">
        <v>155</v>
      </c>
      <c r="C111" t="s">
        <v>156</v>
      </c>
      <c r="D111" t="b">
        <v>1</v>
      </c>
      <c r="E111" t="s">
        <v>32</v>
      </c>
      <c r="F111">
        <v>46.5</v>
      </c>
      <c r="G111">
        <v>13.5</v>
      </c>
      <c r="H111">
        <v>-90</v>
      </c>
    </row>
    <row r="112" spans="1:8" x14ac:dyDescent="0.25">
      <c r="A112" t="s">
        <v>157</v>
      </c>
      <c r="B112" t="s">
        <v>155</v>
      </c>
      <c r="C112" t="s">
        <v>158</v>
      </c>
      <c r="D112" t="b">
        <v>1</v>
      </c>
      <c r="E112" t="s">
        <v>11</v>
      </c>
      <c r="F112">
        <v>21.1</v>
      </c>
      <c r="G112">
        <v>16.7</v>
      </c>
      <c r="H112">
        <v>90</v>
      </c>
    </row>
    <row r="113" spans="1:8" x14ac:dyDescent="0.25">
      <c r="A113" t="s">
        <v>159</v>
      </c>
      <c r="B113" t="s">
        <v>155</v>
      </c>
      <c r="C113" t="s">
        <v>158</v>
      </c>
      <c r="D113" t="b">
        <v>1</v>
      </c>
      <c r="E113" t="s">
        <v>11</v>
      </c>
      <c r="F113">
        <v>21.15</v>
      </c>
      <c r="G113">
        <v>12.95</v>
      </c>
      <c r="H113">
        <v>90</v>
      </c>
    </row>
    <row r="114" spans="1:8" x14ac:dyDescent="0.25">
      <c r="A114" t="s">
        <v>160</v>
      </c>
      <c r="B114" t="s">
        <v>155</v>
      </c>
      <c r="C114" t="s">
        <v>161</v>
      </c>
      <c r="D114" t="b">
        <v>1</v>
      </c>
      <c r="E114" t="s">
        <v>11</v>
      </c>
      <c r="F114">
        <v>48.475000000000001</v>
      </c>
      <c r="G114">
        <v>26.425000000000001</v>
      </c>
      <c r="H114">
        <v>-90</v>
      </c>
    </row>
    <row r="115" spans="1:8" x14ac:dyDescent="0.25">
      <c r="A115" t="s">
        <v>162</v>
      </c>
      <c r="B115" t="s">
        <v>155</v>
      </c>
      <c r="C115" t="s">
        <v>161</v>
      </c>
      <c r="D115" t="b">
        <v>1</v>
      </c>
      <c r="E115" t="s">
        <v>11</v>
      </c>
      <c r="F115">
        <v>48.475000000000001</v>
      </c>
      <c r="G115">
        <v>28.225000000000001</v>
      </c>
      <c r="H115">
        <v>90</v>
      </c>
    </row>
    <row r="116" spans="1:8" x14ac:dyDescent="0.25">
      <c r="A116" t="s">
        <v>163</v>
      </c>
      <c r="B116" t="s">
        <v>155</v>
      </c>
      <c r="C116" t="s">
        <v>164</v>
      </c>
      <c r="D116" t="b">
        <v>1</v>
      </c>
      <c r="E116" t="s">
        <v>11</v>
      </c>
      <c r="F116">
        <v>14.1</v>
      </c>
      <c r="G116">
        <v>32.450000000000003</v>
      </c>
      <c r="H116">
        <v>0</v>
      </c>
    </row>
    <row r="117" spans="1:8" x14ac:dyDescent="0.25">
      <c r="A117" t="s">
        <v>165</v>
      </c>
      <c r="B117" t="s">
        <v>155</v>
      </c>
      <c r="C117" t="s">
        <v>166</v>
      </c>
      <c r="D117" t="b">
        <v>1</v>
      </c>
      <c r="E117" t="s">
        <v>11</v>
      </c>
      <c r="F117">
        <v>14.1</v>
      </c>
      <c r="G117">
        <v>33.450000000000003</v>
      </c>
      <c r="H117">
        <v>0</v>
      </c>
    </row>
    <row r="118" spans="1:8" x14ac:dyDescent="0.25">
      <c r="A118" t="s">
        <v>167</v>
      </c>
      <c r="B118" t="s">
        <v>155</v>
      </c>
      <c r="C118" t="s">
        <v>166</v>
      </c>
      <c r="D118" t="b">
        <v>1</v>
      </c>
      <c r="E118" t="s">
        <v>11</v>
      </c>
      <c r="F118">
        <v>12.1</v>
      </c>
      <c r="G118">
        <v>32.450000000000003</v>
      </c>
      <c r="H118">
        <v>180</v>
      </c>
    </row>
    <row r="119" spans="1:8" x14ac:dyDescent="0.25">
      <c r="A119" t="s">
        <v>168</v>
      </c>
      <c r="B119" t="s">
        <v>155</v>
      </c>
      <c r="C119" t="s">
        <v>164</v>
      </c>
      <c r="D119" t="b">
        <v>1</v>
      </c>
      <c r="E119" t="s">
        <v>11</v>
      </c>
      <c r="F119">
        <v>14.1</v>
      </c>
      <c r="G119">
        <v>24.15</v>
      </c>
      <c r="H119">
        <v>0</v>
      </c>
    </row>
    <row r="120" spans="1:8" x14ac:dyDescent="0.25">
      <c r="A120" t="s">
        <v>169</v>
      </c>
      <c r="B120" t="s">
        <v>155</v>
      </c>
      <c r="C120" t="s">
        <v>164</v>
      </c>
      <c r="D120" t="b">
        <v>1</v>
      </c>
      <c r="E120" t="s">
        <v>11</v>
      </c>
      <c r="F120">
        <v>14.1</v>
      </c>
      <c r="G120">
        <v>25.15</v>
      </c>
      <c r="H120">
        <v>0</v>
      </c>
    </row>
    <row r="121" spans="1:8" x14ac:dyDescent="0.25">
      <c r="A121" t="s">
        <v>170</v>
      </c>
      <c r="B121" t="s">
        <v>155</v>
      </c>
      <c r="C121" t="s">
        <v>166</v>
      </c>
      <c r="D121" t="b">
        <v>1</v>
      </c>
      <c r="E121" t="s">
        <v>11</v>
      </c>
      <c r="F121">
        <v>12.1</v>
      </c>
      <c r="G121">
        <v>24.15</v>
      </c>
      <c r="H121">
        <v>180</v>
      </c>
    </row>
    <row r="122" spans="1:8" x14ac:dyDescent="0.25">
      <c r="A122" t="s">
        <v>171</v>
      </c>
      <c r="B122" t="s">
        <v>155</v>
      </c>
      <c r="C122" t="s">
        <v>164</v>
      </c>
      <c r="D122" t="b">
        <v>1</v>
      </c>
      <c r="E122" t="s">
        <v>11</v>
      </c>
      <c r="F122">
        <v>14.1</v>
      </c>
      <c r="G122">
        <v>15.85</v>
      </c>
      <c r="H122">
        <v>0</v>
      </c>
    </row>
    <row r="123" spans="1:8" x14ac:dyDescent="0.25">
      <c r="A123" t="s">
        <v>172</v>
      </c>
      <c r="B123" t="s">
        <v>155</v>
      </c>
      <c r="C123" t="s">
        <v>164</v>
      </c>
      <c r="D123" t="b">
        <v>1</v>
      </c>
      <c r="E123" t="s">
        <v>11</v>
      </c>
      <c r="F123">
        <v>14.1</v>
      </c>
      <c r="G123">
        <v>16.850000000000001</v>
      </c>
      <c r="H123">
        <v>0</v>
      </c>
    </row>
    <row r="124" spans="1:8" x14ac:dyDescent="0.25">
      <c r="A124" t="s">
        <v>173</v>
      </c>
      <c r="B124" t="s">
        <v>155</v>
      </c>
      <c r="C124" t="s">
        <v>166</v>
      </c>
      <c r="D124" t="b">
        <v>1</v>
      </c>
      <c r="E124" t="s">
        <v>11</v>
      </c>
      <c r="F124">
        <v>12.1</v>
      </c>
      <c r="G124">
        <v>15.85</v>
      </c>
      <c r="H124">
        <v>180</v>
      </c>
    </row>
    <row r="125" spans="1:8" x14ac:dyDescent="0.25">
      <c r="A125" t="s">
        <v>174</v>
      </c>
      <c r="B125" t="s">
        <v>155</v>
      </c>
      <c r="C125" t="s">
        <v>161</v>
      </c>
      <c r="D125" t="b">
        <v>1</v>
      </c>
      <c r="E125" t="s">
        <v>11</v>
      </c>
      <c r="F125">
        <v>51.1</v>
      </c>
      <c r="G125">
        <v>48.55</v>
      </c>
      <c r="H125">
        <v>90.01</v>
      </c>
    </row>
    <row r="126" spans="1:8" x14ac:dyDescent="0.25">
      <c r="A126" t="s">
        <v>175</v>
      </c>
      <c r="B126" t="s">
        <v>155</v>
      </c>
      <c r="C126" t="s">
        <v>176</v>
      </c>
      <c r="D126" t="b">
        <v>1</v>
      </c>
      <c r="E126" t="s">
        <v>32</v>
      </c>
      <c r="F126">
        <v>50.35</v>
      </c>
      <c r="G126">
        <v>53.174999999999997</v>
      </c>
      <c r="H126">
        <v>0</v>
      </c>
    </row>
    <row r="127" spans="1:8" x14ac:dyDescent="0.25">
      <c r="A127" t="s">
        <v>177</v>
      </c>
      <c r="B127" t="s">
        <v>155</v>
      </c>
      <c r="C127" t="s">
        <v>176</v>
      </c>
      <c r="D127" t="b">
        <v>1</v>
      </c>
      <c r="E127" t="s">
        <v>11</v>
      </c>
      <c r="F127">
        <v>65.525000000000006</v>
      </c>
      <c r="G127">
        <v>53.575000000000003</v>
      </c>
      <c r="H127">
        <v>90</v>
      </c>
    </row>
    <row r="128" spans="1:8" x14ac:dyDescent="0.25">
      <c r="A128" t="s">
        <v>178</v>
      </c>
      <c r="B128" t="s">
        <v>155</v>
      </c>
      <c r="C128" t="s">
        <v>179</v>
      </c>
      <c r="D128" t="b">
        <v>1</v>
      </c>
      <c r="E128" t="s">
        <v>32</v>
      </c>
      <c r="F128">
        <v>53.274999999999999</v>
      </c>
      <c r="G128">
        <v>48.375</v>
      </c>
      <c r="H128">
        <v>-90</v>
      </c>
    </row>
    <row r="129" spans="1:8" x14ac:dyDescent="0.25">
      <c r="A129" t="s">
        <v>180</v>
      </c>
      <c r="B129" t="s">
        <v>155</v>
      </c>
      <c r="C129" t="s">
        <v>181</v>
      </c>
      <c r="D129" t="b">
        <v>1</v>
      </c>
      <c r="E129" t="s">
        <v>11</v>
      </c>
      <c r="F129">
        <v>74.900000000000006</v>
      </c>
      <c r="G129">
        <v>32.549999999999997</v>
      </c>
      <c r="H129">
        <v>180</v>
      </c>
    </row>
    <row r="130" spans="1:8" x14ac:dyDescent="0.25">
      <c r="A130" t="s">
        <v>182</v>
      </c>
      <c r="B130" t="s">
        <v>155</v>
      </c>
      <c r="C130" t="s">
        <v>181</v>
      </c>
      <c r="D130" t="b">
        <v>1</v>
      </c>
      <c r="E130" t="s">
        <v>11</v>
      </c>
      <c r="F130">
        <v>74.900000000000006</v>
      </c>
      <c r="G130">
        <v>33.450000000000003</v>
      </c>
      <c r="H130">
        <v>180</v>
      </c>
    </row>
    <row r="131" spans="1:8" x14ac:dyDescent="0.25">
      <c r="A131" t="s">
        <v>183</v>
      </c>
      <c r="B131" t="s">
        <v>155</v>
      </c>
      <c r="C131" t="s">
        <v>161</v>
      </c>
      <c r="D131" t="b">
        <v>1</v>
      </c>
      <c r="E131" t="s">
        <v>11</v>
      </c>
      <c r="F131">
        <v>75.2</v>
      </c>
      <c r="G131">
        <v>29.05</v>
      </c>
      <c r="H131">
        <v>90.01</v>
      </c>
    </row>
    <row r="132" spans="1:8" x14ac:dyDescent="0.25">
      <c r="A132" t="s">
        <v>184</v>
      </c>
      <c r="B132" t="s">
        <v>155</v>
      </c>
      <c r="C132" t="s">
        <v>185</v>
      </c>
      <c r="D132" t="b">
        <v>1</v>
      </c>
      <c r="E132" t="s">
        <v>32</v>
      </c>
      <c r="F132">
        <v>66.8</v>
      </c>
      <c r="G132">
        <v>31.3</v>
      </c>
      <c r="H132">
        <v>-90</v>
      </c>
    </row>
    <row r="133" spans="1:8" x14ac:dyDescent="0.25">
      <c r="A133" t="s">
        <v>186</v>
      </c>
      <c r="B133" t="s">
        <v>155</v>
      </c>
      <c r="C133" t="s">
        <v>161</v>
      </c>
      <c r="D133" t="b">
        <v>1</v>
      </c>
      <c r="E133" t="s">
        <v>32</v>
      </c>
      <c r="F133">
        <v>63.9</v>
      </c>
      <c r="G133">
        <v>35.5</v>
      </c>
      <c r="H133">
        <v>90</v>
      </c>
    </row>
    <row r="134" spans="1:8" x14ac:dyDescent="0.25">
      <c r="A134" t="s">
        <v>187</v>
      </c>
      <c r="B134" t="s">
        <v>155</v>
      </c>
      <c r="C134" t="s">
        <v>185</v>
      </c>
      <c r="D134" t="b">
        <v>1</v>
      </c>
      <c r="E134" t="s">
        <v>32</v>
      </c>
      <c r="F134">
        <v>45.4</v>
      </c>
      <c r="G134">
        <v>28.3</v>
      </c>
      <c r="H134">
        <v>0.01</v>
      </c>
    </row>
    <row r="135" spans="1:8" x14ac:dyDescent="0.25">
      <c r="A135" t="s">
        <v>188</v>
      </c>
      <c r="B135" t="s">
        <v>155</v>
      </c>
      <c r="C135" t="s">
        <v>185</v>
      </c>
      <c r="D135" t="b">
        <v>1</v>
      </c>
      <c r="E135" t="s">
        <v>32</v>
      </c>
      <c r="F135">
        <v>45.4</v>
      </c>
      <c r="G135">
        <v>33.1</v>
      </c>
      <c r="H135">
        <v>0.01</v>
      </c>
    </row>
    <row r="136" spans="1:8" x14ac:dyDescent="0.25">
      <c r="A136" t="s">
        <v>189</v>
      </c>
      <c r="B136" t="s">
        <v>155</v>
      </c>
      <c r="C136" t="s">
        <v>161</v>
      </c>
      <c r="D136" t="b">
        <v>1</v>
      </c>
      <c r="E136" t="s">
        <v>32</v>
      </c>
      <c r="F136">
        <v>60.7</v>
      </c>
      <c r="G136">
        <v>36.75</v>
      </c>
      <c r="H136">
        <v>0</v>
      </c>
    </row>
    <row r="137" spans="1:8" x14ac:dyDescent="0.25">
      <c r="A137" t="s">
        <v>190</v>
      </c>
      <c r="B137" t="s">
        <v>155</v>
      </c>
      <c r="C137" t="s">
        <v>161</v>
      </c>
      <c r="D137" t="b">
        <v>1</v>
      </c>
      <c r="E137" t="s">
        <v>11</v>
      </c>
      <c r="F137">
        <v>86.5</v>
      </c>
      <c r="G137">
        <v>26.25</v>
      </c>
      <c r="H137">
        <v>0</v>
      </c>
    </row>
    <row r="138" spans="1:8" x14ac:dyDescent="0.25">
      <c r="A138" t="s">
        <v>191</v>
      </c>
      <c r="B138" t="s">
        <v>155</v>
      </c>
      <c r="C138" t="s">
        <v>192</v>
      </c>
      <c r="D138" t="b">
        <v>1</v>
      </c>
      <c r="E138" t="s">
        <v>32</v>
      </c>
      <c r="F138">
        <v>45.4</v>
      </c>
      <c r="G138">
        <v>30</v>
      </c>
      <c r="H138">
        <v>-179.99</v>
      </c>
    </row>
    <row r="139" spans="1:8" x14ac:dyDescent="0.25">
      <c r="A139" t="s">
        <v>193</v>
      </c>
      <c r="B139" t="s">
        <v>155</v>
      </c>
      <c r="C139" t="s">
        <v>192</v>
      </c>
      <c r="D139" t="b">
        <v>1</v>
      </c>
      <c r="E139" t="s">
        <v>32</v>
      </c>
      <c r="F139">
        <v>66.8</v>
      </c>
      <c r="G139">
        <v>28</v>
      </c>
      <c r="H139">
        <v>-90</v>
      </c>
    </row>
    <row r="140" spans="1:8" x14ac:dyDescent="0.25">
      <c r="A140" t="s">
        <v>194</v>
      </c>
      <c r="B140" t="s">
        <v>155</v>
      </c>
      <c r="C140" t="s">
        <v>161</v>
      </c>
      <c r="D140" t="b">
        <v>1</v>
      </c>
      <c r="E140" t="s">
        <v>11</v>
      </c>
      <c r="F140">
        <v>86.5</v>
      </c>
      <c r="G140">
        <v>28.75</v>
      </c>
      <c r="H140">
        <v>0</v>
      </c>
    </row>
    <row r="141" spans="1:8" x14ac:dyDescent="0.25">
      <c r="A141" t="s">
        <v>195</v>
      </c>
      <c r="B141" t="s">
        <v>155</v>
      </c>
      <c r="C141" t="s">
        <v>161</v>
      </c>
      <c r="D141" t="b">
        <v>1</v>
      </c>
      <c r="E141" t="s">
        <v>11</v>
      </c>
      <c r="F141">
        <v>86.5</v>
      </c>
      <c r="G141">
        <v>27.75</v>
      </c>
      <c r="H141">
        <v>0</v>
      </c>
    </row>
    <row r="142" spans="1:8" x14ac:dyDescent="0.25">
      <c r="A142" t="s">
        <v>196</v>
      </c>
      <c r="B142" t="s">
        <v>155</v>
      </c>
      <c r="C142" t="s">
        <v>197</v>
      </c>
      <c r="D142" t="b">
        <v>1</v>
      </c>
      <c r="E142" t="s">
        <v>32</v>
      </c>
      <c r="F142">
        <v>71.900000000000006</v>
      </c>
      <c r="G142">
        <v>37.200000000000003</v>
      </c>
      <c r="H142">
        <v>-90</v>
      </c>
    </row>
    <row r="143" spans="1:8" x14ac:dyDescent="0.25">
      <c r="A143" t="s">
        <v>198</v>
      </c>
      <c r="B143" t="s">
        <v>155</v>
      </c>
      <c r="C143" t="s">
        <v>197</v>
      </c>
      <c r="D143" t="b">
        <v>1</v>
      </c>
      <c r="E143" t="s">
        <v>32</v>
      </c>
      <c r="F143">
        <v>71.3</v>
      </c>
      <c r="G143">
        <v>35.25</v>
      </c>
      <c r="H143">
        <v>-90</v>
      </c>
    </row>
    <row r="144" spans="1:8" x14ac:dyDescent="0.25">
      <c r="A144" t="s">
        <v>199</v>
      </c>
      <c r="B144" t="s">
        <v>155</v>
      </c>
      <c r="C144" t="s">
        <v>197</v>
      </c>
      <c r="D144" t="b">
        <v>1</v>
      </c>
      <c r="E144" t="s">
        <v>32</v>
      </c>
      <c r="F144">
        <v>72.5</v>
      </c>
      <c r="G144">
        <v>35.25</v>
      </c>
      <c r="H144">
        <v>-90</v>
      </c>
    </row>
    <row r="145" spans="1:8" x14ac:dyDescent="0.25">
      <c r="A145" t="s">
        <v>200</v>
      </c>
      <c r="B145" t="s">
        <v>155</v>
      </c>
      <c r="C145" t="s">
        <v>161</v>
      </c>
      <c r="D145" t="b">
        <v>1</v>
      </c>
      <c r="E145" t="s">
        <v>11</v>
      </c>
      <c r="F145">
        <v>86.5</v>
      </c>
      <c r="G145">
        <v>34.25</v>
      </c>
      <c r="H145">
        <v>0</v>
      </c>
    </row>
    <row r="146" spans="1:8" x14ac:dyDescent="0.25">
      <c r="A146" t="s">
        <v>201</v>
      </c>
      <c r="B146" t="s">
        <v>155</v>
      </c>
      <c r="C146" t="s">
        <v>161</v>
      </c>
      <c r="D146" t="b">
        <v>1</v>
      </c>
      <c r="E146" t="s">
        <v>11</v>
      </c>
      <c r="F146">
        <v>72.05</v>
      </c>
      <c r="G146">
        <v>29.05</v>
      </c>
      <c r="H146">
        <v>90</v>
      </c>
    </row>
    <row r="147" spans="1:8" x14ac:dyDescent="0.25">
      <c r="A147" t="s">
        <v>202</v>
      </c>
      <c r="B147" t="s">
        <v>155</v>
      </c>
      <c r="C147" t="s">
        <v>197</v>
      </c>
      <c r="D147" t="b">
        <v>1</v>
      </c>
      <c r="E147" t="s">
        <v>32</v>
      </c>
      <c r="F147">
        <v>73.099999999999994</v>
      </c>
      <c r="G147">
        <v>37.200000000000003</v>
      </c>
      <c r="H147">
        <v>-90</v>
      </c>
    </row>
    <row r="148" spans="1:8" x14ac:dyDescent="0.25">
      <c r="A148" t="s">
        <v>203</v>
      </c>
      <c r="B148" t="s">
        <v>155</v>
      </c>
      <c r="C148" t="s">
        <v>197</v>
      </c>
      <c r="D148" t="b">
        <v>1</v>
      </c>
      <c r="E148" t="s">
        <v>32</v>
      </c>
      <c r="F148">
        <v>70.7</v>
      </c>
      <c r="G148">
        <v>37.200000000000003</v>
      </c>
      <c r="H148">
        <v>-90</v>
      </c>
    </row>
    <row r="149" spans="1:8" x14ac:dyDescent="0.25">
      <c r="A149" t="s">
        <v>204</v>
      </c>
      <c r="B149" t="s">
        <v>155</v>
      </c>
      <c r="C149" t="s">
        <v>161</v>
      </c>
      <c r="D149" t="b">
        <v>1</v>
      </c>
      <c r="E149" t="s">
        <v>11</v>
      </c>
      <c r="F149">
        <v>75.25</v>
      </c>
      <c r="G149">
        <v>23.324999999999999</v>
      </c>
      <c r="H149">
        <v>-90</v>
      </c>
    </row>
    <row r="150" spans="1:8" x14ac:dyDescent="0.25">
      <c r="A150" t="s">
        <v>205</v>
      </c>
      <c r="B150" t="s">
        <v>155</v>
      </c>
      <c r="C150" t="s">
        <v>192</v>
      </c>
      <c r="D150" t="b">
        <v>1</v>
      </c>
      <c r="E150" t="s">
        <v>32</v>
      </c>
      <c r="F150">
        <v>57.35</v>
      </c>
      <c r="G150">
        <v>37.200000000000003</v>
      </c>
      <c r="H150">
        <v>0</v>
      </c>
    </row>
    <row r="151" spans="1:8" x14ac:dyDescent="0.25">
      <c r="A151" t="s">
        <v>206</v>
      </c>
      <c r="B151" t="s">
        <v>155</v>
      </c>
      <c r="C151" t="s">
        <v>192</v>
      </c>
      <c r="D151" t="b">
        <v>1</v>
      </c>
      <c r="E151" t="s">
        <v>32</v>
      </c>
      <c r="F151">
        <v>64.7</v>
      </c>
      <c r="G151">
        <v>22.8</v>
      </c>
      <c r="H151">
        <v>0.01</v>
      </c>
    </row>
    <row r="152" spans="1:8" x14ac:dyDescent="0.25">
      <c r="A152" t="s">
        <v>207</v>
      </c>
      <c r="B152" t="s">
        <v>155</v>
      </c>
      <c r="C152" t="s">
        <v>161</v>
      </c>
      <c r="D152" t="b">
        <v>1</v>
      </c>
      <c r="E152" t="s">
        <v>11</v>
      </c>
      <c r="F152">
        <v>73.099999999999994</v>
      </c>
      <c r="G152">
        <v>29.05</v>
      </c>
      <c r="H152">
        <v>90.01</v>
      </c>
    </row>
    <row r="153" spans="1:8" x14ac:dyDescent="0.25">
      <c r="A153" t="s">
        <v>208</v>
      </c>
      <c r="B153" t="s">
        <v>155</v>
      </c>
      <c r="C153" t="s">
        <v>161</v>
      </c>
      <c r="D153" t="b">
        <v>1</v>
      </c>
      <c r="E153" t="s">
        <v>11</v>
      </c>
      <c r="F153">
        <v>92</v>
      </c>
      <c r="G153">
        <v>38</v>
      </c>
      <c r="H153">
        <v>0</v>
      </c>
    </row>
    <row r="154" spans="1:8" x14ac:dyDescent="0.25">
      <c r="A154" t="s">
        <v>209</v>
      </c>
      <c r="B154" t="s">
        <v>155</v>
      </c>
      <c r="C154" t="s">
        <v>197</v>
      </c>
      <c r="D154" t="b">
        <v>1</v>
      </c>
      <c r="E154" t="s">
        <v>11</v>
      </c>
      <c r="F154">
        <v>73.099999999999994</v>
      </c>
      <c r="G154">
        <v>34.4</v>
      </c>
      <c r="H154">
        <v>0.01</v>
      </c>
    </row>
    <row r="155" spans="1:8" x14ac:dyDescent="0.25">
      <c r="A155" t="s">
        <v>210</v>
      </c>
      <c r="B155" t="s">
        <v>155</v>
      </c>
      <c r="C155" t="s">
        <v>161</v>
      </c>
      <c r="D155" t="b">
        <v>1</v>
      </c>
      <c r="E155" t="s">
        <v>11</v>
      </c>
      <c r="F155">
        <v>74.900000000000006</v>
      </c>
      <c r="G155">
        <v>34.4</v>
      </c>
      <c r="H155">
        <v>0.01</v>
      </c>
    </row>
    <row r="156" spans="1:8" x14ac:dyDescent="0.25">
      <c r="A156" t="s">
        <v>211</v>
      </c>
      <c r="B156" t="s">
        <v>155</v>
      </c>
      <c r="C156" t="s">
        <v>197</v>
      </c>
      <c r="D156" t="b">
        <v>1</v>
      </c>
      <c r="E156" t="s">
        <v>11</v>
      </c>
      <c r="F156">
        <v>86.5</v>
      </c>
      <c r="G156">
        <v>31.15</v>
      </c>
      <c r="H156">
        <v>180</v>
      </c>
    </row>
    <row r="157" spans="1:8" x14ac:dyDescent="0.25">
      <c r="A157" t="s">
        <v>212</v>
      </c>
      <c r="B157" t="s">
        <v>155</v>
      </c>
      <c r="C157" t="s">
        <v>197</v>
      </c>
      <c r="D157" t="b">
        <v>1</v>
      </c>
      <c r="E157" t="s">
        <v>11</v>
      </c>
      <c r="F157">
        <v>86.5</v>
      </c>
      <c r="G157">
        <v>30.15</v>
      </c>
      <c r="H157">
        <v>180</v>
      </c>
    </row>
    <row r="158" spans="1:8" x14ac:dyDescent="0.25">
      <c r="A158" t="s">
        <v>213</v>
      </c>
      <c r="B158" t="s">
        <v>155</v>
      </c>
      <c r="C158" t="s">
        <v>181</v>
      </c>
      <c r="D158" t="b">
        <v>1</v>
      </c>
      <c r="E158" t="s">
        <v>32</v>
      </c>
      <c r="F158">
        <v>94</v>
      </c>
      <c r="G158">
        <v>24.15</v>
      </c>
      <c r="H158">
        <v>-90</v>
      </c>
    </row>
    <row r="159" spans="1:8" x14ac:dyDescent="0.25">
      <c r="A159" t="s">
        <v>214</v>
      </c>
      <c r="B159" t="s">
        <v>155</v>
      </c>
      <c r="C159" t="s">
        <v>197</v>
      </c>
      <c r="D159" t="b">
        <v>1</v>
      </c>
      <c r="E159" t="s">
        <v>11</v>
      </c>
      <c r="F159">
        <v>48.4</v>
      </c>
      <c r="G159">
        <v>47.15</v>
      </c>
      <c r="H159">
        <v>180</v>
      </c>
    </row>
    <row r="160" spans="1:8" x14ac:dyDescent="0.25">
      <c r="A160" t="s">
        <v>215</v>
      </c>
      <c r="B160" t="s">
        <v>155</v>
      </c>
      <c r="C160" t="s">
        <v>197</v>
      </c>
      <c r="D160" t="b">
        <v>1</v>
      </c>
      <c r="E160" t="s">
        <v>11</v>
      </c>
      <c r="F160">
        <v>48.4</v>
      </c>
      <c r="G160">
        <v>46</v>
      </c>
      <c r="H160">
        <v>180</v>
      </c>
    </row>
    <row r="161" spans="1:8" x14ac:dyDescent="0.25">
      <c r="A161" t="s">
        <v>216</v>
      </c>
      <c r="B161" t="s">
        <v>155</v>
      </c>
      <c r="C161" t="s">
        <v>181</v>
      </c>
      <c r="D161" t="b">
        <v>1</v>
      </c>
      <c r="E161" t="s">
        <v>11</v>
      </c>
      <c r="F161">
        <v>31.3</v>
      </c>
      <c r="G161">
        <v>32.450000000000003</v>
      </c>
      <c r="H161">
        <v>90</v>
      </c>
    </row>
    <row r="162" spans="1:8" x14ac:dyDescent="0.25">
      <c r="A162" t="s">
        <v>217</v>
      </c>
      <c r="B162" t="s">
        <v>155</v>
      </c>
      <c r="C162" t="s">
        <v>181</v>
      </c>
      <c r="D162" t="b">
        <v>1</v>
      </c>
      <c r="E162" t="s">
        <v>11</v>
      </c>
      <c r="F162">
        <v>82.45</v>
      </c>
      <c r="G162">
        <v>23.324999999999999</v>
      </c>
      <c r="H162">
        <v>90</v>
      </c>
    </row>
    <row r="163" spans="1:8" x14ac:dyDescent="0.25">
      <c r="A163" t="s">
        <v>218</v>
      </c>
      <c r="B163" t="s">
        <v>155</v>
      </c>
      <c r="C163" t="s">
        <v>181</v>
      </c>
      <c r="D163" t="b">
        <v>1</v>
      </c>
      <c r="E163" t="s">
        <v>11</v>
      </c>
      <c r="F163">
        <v>32.5</v>
      </c>
      <c r="G163">
        <v>23.45</v>
      </c>
      <c r="H163">
        <v>90</v>
      </c>
    </row>
    <row r="164" spans="1:8" x14ac:dyDescent="0.25">
      <c r="A164" t="s">
        <v>219</v>
      </c>
      <c r="B164" t="s">
        <v>155</v>
      </c>
      <c r="C164" t="s">
        <v>185</v>
      </c>
      <c r="D164" t="b">
        <v>1</v>
      </c>
      <c r="E164" t="s">
        <v>11</v>
      </c>
      <c r="F164">
        <v>26.125</v>
      </c>
      <c r="G164">
        <v>21.875</v>
      </c>
      <c r="H164">
        <v>0</v>
      </c>
    </row>
    <row r="165" spans="1:8" x14ac:dyDescent="0.25">
      <c r="A165" t="s">
        <v>220</v>
      </c>
      <c r="B165" t="s">
        <v>155</v>
      </c>
      <c r="C165" t="s">
        <v>161</v>
      </c>
      <c r="D165" t="b">
        <v>1</v>
      </c>
      <c r="E165" t="s">
        <v>32</v>
      </c>
      <c r="F165">
        <v>14.025</v>
      </c>
      <c r="G165">
        <v>58.3</v>
      </c>
      <c r="H165">
        <v>0</v>
      </c>
    </row>
    <row r="166" spans="1:8" x14ac:dyDescent="0.25">
      <c r="A166" t="s">
        <v>221</v>
      </c>
      <c r="B166" t="s">
        <v>222</v>
      </c>
      <c r="C166" t="s">
        <v>223</v>
      </c>
      <c r="D166" t="b">
        <v>1</v>
      </c>
      <c r="E166" t="s">
        <v>11</v>
      </c>
      <c r="F166">
        <v>95.9</v>
      </c>
      <c r="G166">
        <v>20.2</v>
      </c>
      <c r="H166">
        <v>0</v>
      </c>
    </row>
    <row r="167" spans="1:8" x14ac:dyDescent="0.25">
      <c r="A167" t="s">
        <v>224</v>
      </c>
      <c r="B167" t="s">
        <v>155</v>
      </c>
      <c r="C167" t="s">
        <v>161</v>
      </c>
      <c r="D167" t="b">
        <v>1</v>
      </c>
      <c r="E167" t="s">
        <v>11</v>
      </c>
      <c r="F167">
        <v>86.5</v>
      </c>
      <c r="G167">
        <v>25.25</v>
      </c>
      <c r="H167">
        <v>180</v>
      </c>
    </row>
    <row r="168" spans="1:8" x14ac:dyDescent="0.25">
      <c r="A168" t="s">
        <v>225</v>
      </c>
      <c r="B168" t="s">
        <v>155</v>
      </c>
      <c r="C168" t="s">
        <v>176</v>
      </c>
      <c r="D168" t="b">
        <v>1</v>
      </c>
      <c r="E168" t="s">
        <v>32</v>
      </c>
      <c r="F168">
        <v>103.88500000000001</v>
      </c>
      <c r="G168">
        <v>41.55</v>
      </c>
      <c r="H168">
        <v>90</v>
      </c>
    </row>
    <row r="169" spans="1:8" x14ac:dyDescent="0.25">
      <c r="A169" t="s">
        <v>226</v>
      </c>
      <c r="B169" t="s">
        <v>155</v>
      </c>
      <c r="C169" t="s">
        <v>176</v>
      </c>
      <c r="D169" t="b">
        <v>1</v>
      </c>
      <c r="E169" t="s">
        <v>32</v>
      </c>
      <c r="F169">
        <v>102.61499999999999</v>
      </c>
      <c r="G169">
        <v>41.55</v>
      </c>
      <c r="H169">
        <v>90</v>
      </c>
    </row>
    <row r="170" spans="1:8" x14ac:dyDescent="0.25">
      <c r="A170" t="s">
        <v>227</v>
      </c>
      <c r="B170" t="s">
        <v>155</v>
      </c>
      <c r="C170" t="s">
        <v>161</v>
      </c>
      <c r="D170" t="b">
        <v>1</v>
      </c>
      <c r="E170" t="s">
        <v>11</v>
      </c>
      <c r="F170">
        <v>11.75</v>
      </c>
      <c r="G170">
        <v>61.125</v>
      </c>
      <c r="H170">
        <v>0</v>
      </c>
    </row>
    <row r="171" spans="1:8" x14ac:dyDescent="0.25">
      <c r="A171" t="s">
        <v>228</v>
      </c>
      <c r="B171" t="s">
        <v>155</v>
      </c>
      <c r="C171" t="s">
        <v>161</v>
      </c>
      <c r="D171" t="b">
        <v>1</v>
      </c>
      <c r="E171" t="s">
        <v>32</v>
      </c>
      <c r="F171">
        <v>44.35</v>
      </c>
      <c r="G171">
        <v>15.9</v>
      </c>
      <c r="H171">
        <v>90</v>
      </c>
    </row>
    <row r="172" spans="1:8" x14ac:dyDescent="0.25">
      <c r="A172" t="s">
        <v>229</v>
      </c>
      <c r="B172" t="s">
        <v>155</v>
      </c>
      <c r="C172" t="s">
        <v>161</v>
      </c>
      <c r="D172" t="b">
        <v>1</v>
      </c>
      <c r="E172" t="s">
        <v>32</v>
      </c>
      <c r="F172">
        <v>70.924999999999997</v>
      </c>
      <c r="G172">
        <v>16.3</v>
      </c>
      <c r="H172">
        <v>90</v>
      </c>
    </row>
    <row r="173" spans="1:8" x14ac:dyDescent="0.25">
      <c r="A173" t="s">
        <v>230</v>
      </c>
      <c r="B173" t="s">
        <v>155</v>
      </c>
      <c r="C173" t="s">
        <v>231</v>
      </c>
      <c r="D173" t="b">
        <v>1</v>
      </c>
      <c r="E173" t="s">
        <v>11</v>
      </c>
      <c r="F173">
        <v>50.75</v>
      </c>
      <c r="G173">
        <v>16.024999999999999</v>
      </c>
      <c r="H173">
        <v>0</v>
      </c>
    </row>
    <row r="174" spans="1:8" x14ac:dyDescent="0.25">
      <c r="A174" t="s">
        <v>232</v>
      </c>
      <c r="B174" t="s">
        <v>155</v>
      </c>
      <c r="C174" t="s">
        <v>231</v>
      </c>
      <c r="D174" t="b">
        <v>1</v>
      </c>
      <c r="E174" t="s">
        <v>11</v>
      </c>
      <c r="F174">
        <v>66</v>
      </c>
      <c r="G174">
        <v>17</v>
      </c>
      <c r="H174">
        <v>180</v>
      </c>
    </row>
    <row r="175" spans="1:8" x14ac:dyDescent="0.25">
      <c r="A175" t="s">
        <v>233</v>
      </c>
      <c r="B175" t="s">
        <v>155</v>
      </c>
      <c r="C175" t="s">
        <v>231</v>
      </c>
      <c r="D175" t="b">
        <v>1</v>
      </c>
      <c r="E175" t="s">
        <v>11</v>
      </c>
      <c r="F175">
        <v>49.024999999999999</v>
      </c>
      <c r="G175">
        <v>17</v>
      </c>
      <c r="H175">
        <v>0</v>
      </c>
    </row>
    <row r="176" spans="1:8" x14ac:dyDescent="0.25">
      <c r="A176" t="s">
        <v>234</v>
      </c>
      <c r="B176" t="s">
        <v>155</v>
      </c>
      <c r="C176" t="s">
        <v>231</v>
      </c>
      <c r="D176" t="b">
        <v>1</v>
      </c>
      <c r="E176" t="s">
        <v>11</v>
      </c>
      <c r="F176">
        <v>64.25</v>
      </c>
      <c r="G176">
        <v>16.024999999999999</v>
      </c>
      <c r="H176">
        <v>180</v>
      </c>
    </row>
    <row r="177" spans="1:8" x14ac:dyDescent="0.25">
      <c r="A177" t="s">
        <v>235</v>
      </c>
      <c r="B177" t="s">
        <v>155</v>
      </c>
      <c r="C177" t="s">
        <v>161</v>
      </c>
      <c r="D177" t="b">
        <v>1</v>
      </c>
      <c r="E177" t="s">
        <v>11</v>
      </c>
      <c r="F177">
        <v>72.7</v>
      </c>
      <c r="G177">
        <v>21.45</v>
      </c>
      <c r="H177">
        <v>90</v>
      </c>
    </row>
    <row r="178" spans="1:8" x14ac:dyDescent="0.25">
      <c r="A178" t="s">
        <v>236</v>
      </c>
      <c r="B178" t="s">
        <v>155</v>
      </c>
      <c r="C178" t="s">
        <v>161</v>
      </c>
      <c r="D178" t="b">
        <v>1</v>
      </c>
      <c r="E178" t="s">
        <v>11</v>
      </c>
      <c r="F178">
        <v>86.2</v>
      </c>
      <c r="G178">
        <v>17.75</v>
      </c>
      <c r="H178">
        <v>0</v>
      </c>
    </row>
    <row r="179" spans="1:8" x14ac:dyDescent="0.25">
      <c r="A179" t="s">
        <v>237</v>
      </c>
      <c r="B179" t="s">
        <v>155</v>
      </c>
      <c r="C179" t="s">
        <v>238</v>
      </c>
      <c r="D179" t="b">
        <v>1</v>
      </c>
      <c r="E179" t="s">
        <v>11</v>
      </c>
      <c r="F179">
        <v>68.7</v>
      </c>
      <c r="G179">
        <v>21.45</v>
      </c>
      <c r="H179">
        <v>-90</v>
      </c>
    </row>
    <row r="180" spans="1:8" x14ac:dyDescent="0.25">
      <c r="A180" t="s">
        <v>239</v>
      </c>
      <c r="B180" t="s">
        <v>155</v>
      </c>
      <c r="C180" t="s">
        <v>161</v>
      </c>
      <c r="D180" t="b">
        <v>1</v>
      </c>
      <c r="E180" t="s">
        <v>11</v>
      </c>
      <c r="F180">
        <v>69.7</v>
      </c>
      <c r="G180">
        <v>21.45</v>
      </c>
      <c r="H180">
        <v>90</v>
      </c>
    </row>
    <row r="181" spans="1:8" x14ac:dyDescent="0.25">
      <c r="A181" t="s">
        <v>240</v>
      </c>
      <c r="B181" t="s">
        <v>155</v>
      </c>
      <c r="C181" t="s">
        <v>238</v>
      </c>
      <c r="D181" t="b">
        <v>1</v>
      </c>
      <c r="E181" t="s">
        <v>11</v>
      </c>
      <c r="F181">
        <v>86.2</v>
      </c>
      <c r="G181">
        <v>21.65</v>
      </c>
      <c r="H181">
        <v>180</v>
      </c>
    </row>
    <row r="182" spans="1:8" x14ac:dyDescent="0.25">
      <c r="A182" t="s">
        <v>241</v>
      </c>
      <c r="B182" t="s">
        <v>155</v>
      </c>
      <c r="C182" t="s">
        <v>161</v>
      </c>
      <c r="D182" t="b">
        <v>1</v>
      </c>
      <c r="E182" t="s">
        <v>11</v>
      </c>
      <c r="F182">
        <v>86.2</v>
      </c>
      <c r="G182">
        <v>20.7</v>
      </c>
      <c r="H182">
        <v>0</v>
      </c>
    </row>
    <row r="183" spans="1:8" x14ac:dyDescent="0.25">
      <c r="A183" t="s">
        <v>242</v>
      </c>
      <c r="B183" t="s">
        <v>155</v>
      </c>
      <c r="C183" t="s">
        <v>181</v>
      </c>
      <c r="D183" t="b">
        <v>1</v>
      </c>
      <c r="E183" t="s">
        <v>11</v>
      </c>
      <c r="F183">
        <v>51.45</v>
      </c>
      <c r="G183">
        <v>10.75</v>
      </c>
      <c r="H183">
        <v>180</v>
      </c>
    </row>
    <row r="184" spans="1:8" x14ac:dyDescent="0.25">
      <c r="A184" t="s">
        <v>243</v>
      </c>
      <c r="B184" t="s">
        <v>155</v>
      </c>
      <c r="C184" t="s">
        <v>181</v>
      </c>
      <c r="D184" t="b">
        <v>1</v>
      </c>
      <c r="E184" t="s">
        <v>11</v>
      </c>
      <c r="F184">
        <v>63.55</v>
      </c>
      <c r="G184">
        <v>10.75</v>
      </c>
      <c r="H184">
        <v>0</v>
      </c>
    </row>
    <row r="185" spans="1:8" x14ac:dyDescent="0.25">
      <c r="A185" t="s">
        <v>244</v>
      </c>
      <c r="B185" t="s">
        <v>121</v>
      </c>
      <c r="C185" t="s">
        <v>245</v>
      </c>
      <c r="D185" t="b">
        <v>1</v>
      </c>
      <c r="E185" t="s">
        <v>11</v>
      </c>
      <c r="F185">
        <v>11.75</v>
      </c>
      <c r="G185">
        <v>58</v>
      </c>
      <c r="H185">
        <v>90.01</v>
      </c>
    </row>
    <row r="186" spans="1:8" x14ac:dyDescent="0.25">
      <c r="A186" t="s">
        <v>246</v>
      </c>
      <c r="B186" t="s">
        <v>121</v>
      </c>
      <c r="C186" t="s">
        <v>245</v>
      </c>
      <c r="D186" t="b">
        <v>1</v>
      </c>
      <c r="E186" t="s">
        <v>11</v>
      </c>
      <c r="F186">
        <v>11.75</v>
      </c>
      <c r="G186">
        <v>50.5</v>
      </c>
      <c r="H186">
        <v>90</v>
      </c>
    </row>
    <row r="187" spans="1:8" x14ac:dyDescent="0.25">
      <c r="A187" t="s">
        <v>247</v>
      </c>
      <c r="B187" t="s">
        <v>121</v>
      </c>
      <c r="C187" t="s">
        <v>245</v>
      </c>
      <c r="D187" t="b">
        <v>1</v>
      </c>
      <c r="E187" t="s">
        <v>11</v>
      </c>
      <c r="F187">
        <v>44.05</v>
      </c>
      <c r="G187">
        <v>13.5</v>
      </c>
      <c r="H187">
        <v>-90</v>
      </c>
    </row>
    <row r="188" spans="1:8" x14ac:dyDescent="0.25">
      <c r="A188" t="s">
        <v>248</v>
      </c>
      <c r="B188" t="s">
        <v>121</v>
      </c>
      <c r="C188" t="s">
        <v>245</v>
      </c>
      <c r="D188" t="b">
        <v>1</v>
      </c>
      <c r="E188" t="s">
        <v>11</v>
      </c>
      <c r="F188">
        <v>70.974999999999994</v>
      </c>
      <c r="G188">
        <v>13.5</v>
      </c>
      <c r="H188">
        <v>-90</v>
      </c>
    </row>
    <row r="189" spans="1:8" x14ac:dyDescent="0.25">
      <c r="A189" t="s">
        <v>249</v>
      </c>
      <c r="B189" t="s">
        <v>121</v>
      </c>
      <c r="C189" t="s">
        <v>245</v>
      </c>
      <c r="D189" t="b">
        <v>1</v>
      </c>
      <c r="E189" t="s">
        <v>11</v>
      </c>
      <c r="F189">
        <v>103.25</v>
      </c>
      <c r="G189">
        <v>58</v>
      </c>
      <c r="H189">
        <v>90</v>
      </c>
    </row>
    <row r="190" spans="1:8" x14ac:dyDescent="0.25">
      <c r="A190" t="s">
        <v>250</v>
      </c>
      <c r="B190" t="s">
        <v>121</v>
      </c>
      <c r="C190" t="s">
        <v>245</v>
      </c>
      <c r="D190" t="b">
        <v>1</v>
      </c>
      <c r="E190" t="s">
        <v>11</v>
      </c>
      <c r="F190">
        <v>103.25</v>
      </c>
      <c r="G190">
        <v>50.5</v>
      </c>
      <c r="H190">
        <v>90</v>
      </c>
    </row>
    <row r="191" spans="1:8" x14ac:dyDescent="0.25">
      <c r="A191" t="s">
        <v>251</v>
      </c>
      <c r="B191" t="s">
        <v>252</v>
      </c>
      <c r="C191" t="s">
        <v>253</v>
      </c>
      <c r="D191" t="b">
        <v>1</v>
      </c>
      <c r="E191" t="s">
        <v>11</v>
      </c>
      <c r="F191">
        <v>12.6</v>
      </c>
      <c r="G191">
        <v>36.75</v>
      </c>
      <c r="H191">
        <v>-90</v>
      </c>
    </row>
    <row r="192" spans="1:8" x14ac:dyDescent="0.25">
      <c r="A192" t="s">
        <v>254</v>
      </c>
      <c r="B192" t="s">
        <v>252</v>
      </c>
      <c r="C192" t="s">
        <v>255</v>
      </c>
      <c r="D192" t="b">
        <v>1</v>
      </c>
      <c r="E192" t="s">
        <v>11</v>
      </c>
      <c r="F192">
        <v>14.1</v>
      </c>
      <c r="G192">
        <v>29.7</v>
      </c>
      <c r="H192">
        <v>0</v>
      </c>
    </row>
    <row r="193" spans="1:8" x14ac:dyDescent="0.25">
      <c r="A193" t="s">
        <v>256</v>
      </c>
      <c r="B193" t="s">
        <v>252</v>
      </c>
      <c r="C193" t="s">
        <v>255</v>
      </c>
      <c r="D193" t="b">
        <v>1</v>
      </c>
      <c r="E193" t="s">
        <v>11</v>
      </c>
      <c r="F193">
        <v>14.1</v>
      </c>
      <c r="G193">
        <v>21.4</v>
      </c>
      <c r="H193">
        <v>0</v>
      </c>
    </row>
    <row r="194" spans="1:8" x14ac:dyDescent="0.25">
      <c r="A194" t="s">
        <v>257</v>
      </c>
      <c r="B194" t="s">
        <v>252</v>
      </c>
      <c r="C194" t="s">
        <v>255</v>
      </c>
      <c r="D194" t="b">
        <v>1</v>
      </c>
      <c r="E194" t="s">
        <v>11</v>
      </c>
      <c r="F194">
        <v>14.1</v>
      </c>
      <c r="G194">
        <v>13.1</v>
      </c>
      <c r="H194">
        <v>0</v>
      </c>
    </row>
    <row r="195" spans="1:8" x14ac:dyDescent="0.25">
      <c r="A195" t="s">
        <v>258</v>
      </c>
      <c r="B195" t="s">
        <v>259</v>
      </c>
      <c r="C195" t="s">
        <v>260</v>
      </c>
      <c r="D195" t="b">
        <v>1</v>
      </c>
      <c r="E195" t="s">
        <v>11</v>
      </c>
      <c r="F195">
        <v>57.5</v>
      </c>
      <c r="G195">
        <v>50</v>
      </c>
      <c r="H195">
        <v>0</v>
      </c>
    </row>
    <row r="196" spans="1:8" x14ac:dyDescent="0.25">
      <c r="A196" t="s">
        <v>261</v>
      </c>
      <c r="B196" t="s">
        <v>262</v>
      </c>
      <c r="C196" t="s">
        <v>263</v>
      </c>
      <c r="D196" t="b">
        <v>1</v>
      </c>
      <c r="E196" t="s">
        <v>11</v>
      </c>
      <c r="F196">
        <v>57.5</v>
      </c>
      <c r="G196">
        <v>30</v>
      </c>
      <c r="H196">
        <v>90</v>
      </c>
    </row>
    <row r="197" spans="1:8" x14ac:dyDescent="0.25">
      <c r="A197" t="s">
        <v>264</v>
      </c>
      <c r="B197" t="s">
        <v>265</v>
      </c>
      <c r="C197" t="s">
        <v>266</v>
      </c>
      <c r="D197" t="b">
        <v>1</v>
      </c>
      <c r="E197" t="s">
        <v>11</v>
      </c>
      <c r="F197">
        <v>72.849999999999994</v>
      </c>
      <c r="G197">
        <v>32</v>
      </c>
      <c r="H197">
        <v>-90</v>
      </c>
    </row>
    <row r="198" spans="1:8" x14ac:dyDescent="0.25">
      <c r="A198" t="s">
        <v>267</v>
      </c>
      <c r="B198" t="s">
        <v>268</v>
      </c>
      <c r="C198" t="s">
        <v>269</v>
      </c>
      <c r="D198" t="b">
        <v>1</v>
      </c>
      <c r="E198" t="s">
        <v>11</v>
      </c>
      <c r="F198">
        <v>96.85</v>
      </c>
      <c r="G198">
        <v>30.25</v>
      </c>
      <c r="H198">
        <v>-90</v>
      </c>
    </row>
    <row r="199" spans="1:8" x14ac:dyDescent="0.25">
      <c r="A199" t="s">
        <v>270</v>
      </c>
      <c r="B199" t="s">
        <v>252</v>
      </c>
      <c r="C199" t="s">
        <v>271</v>
      </c>
      <c r="D199" t="b">
        <v>1</v>
      </c>
      <c r="E199" t="s">
        <v>11</v>
      </c>
      <c r="F199">
        <v>74.5</v>
      </c>
      <c r="G199">
        <v>47</v>
      </c>
      <c r="H199">
        <v>0</v>
      </c>
    </row>
    <row r="200" spans="1:8" x14ac:dyDescent="0.25">
      <c r="A200" t="s">
        <v>272</v>
      </c>
      <c r="B200" t="s">
        <v>252</v>
      </c>
      <c r="C200" t="s">
        <v>271</v>
      </c>
      <c r="D200" t="b">
        <v>1</v>
      </c>
      <c r="E200" t="s">
        <v>11</v>
      </c>
      <c r="F200">
        <v>82.5</v>
      </c>
      <c r="G200">
        <v>47</v>
      </c>
      <c r="H200">
        <v>0</v>
      </c>
    </row>
    <row r="201" spans="1:8" x14ac:dyDescent="0.25">
      <c r="A201" t="s">
        <v>273</v>
      </c>
      <c r="B201" t="s">
        <v>252</v>
      </c>
      <c r="C201" t="s">
        <v>271</v>
      </c>
      <c r="D201" t="b">
        <v>1</v>
      </c>
      <c r="E201" t="s">
        <v>11</v>
      </c>
      <c r="F201">
        <v>32.5</v>
      </c>
      <c r="G201">
        <v>47</v>
      </c>
      <c r="H201">
        <v>180</v>
      </c>
    </row>
    <row r="202" spans="1:8" x14ac:dyDescent="0.25">
      <c r="A202" t="s">
        <v>274</v>
      </c>
      <c r="B202" t="s">
        <v>252</v>
      </c>
      <c r="C202" t="s">
        <v>271</v>
      </c>
      <c r="D202" t="b">
        <v>1</v>
      </c>
      <c r="E202" t="s">
        <v>11</v>
      </c>
      <c r="F202">
        <v>40.5</v>
      </c>
      <c r="G202">
        <v>47</v>
      </c>
      <c r="H202">
        <v>180</v>
      </c>
    </row>
    <row r="203" spans="1:8" x14ac:dyDescent="0.25">
      <c r="A203" t="s">
        <v>275</v>
      </c>
      <c r="B203" t="s">
        <v>252</v>
      </c>
      <c r="C203" t="s">
        <v>276</v>
      </c>
      <c r="D203" t="b">
        <v>1</v>
      </c>
      <c r="E203" t="s">
        <v>11</v>
      </c>
      <c r="F203">
        <v>70.7</v>
      </c>
      <c r="G203">
        <v>19.062999999999999</v>
      </c>
      <c r="H203">
        <v>0</v>
      </c>
    </row>
    <row r="204" spans="1:8" x14ac:dyDescent="0.25">
      <c r="A204" t="s">
        <v>277</v>
      </c>
      <c r="B204" t="s">
        <v>252</v>
      </c>
      <c r="C204" t="s">
        <v>276</v>
      </c>
      <c r="D204" t="b">
        <v>1</v>
      </c>
      <c r="E204" t="s">
        <v>11</v>
      </c>
      <c r="F204">
        <v>83.8</v>
      </c>
      <c r="G204">
        <v>19.75</v>
      </c>
      <c r="H204">
        <v>-90</v>
      </c>
    </row>
    <row r="205" spans="1:8" x14ac:dyDescent="0.25">
      <c r="A205" t="s">
        <v>278</v>
      </c>
      <c r="B205" t="s">
        <v>279</v>
      </c>
      <c r="C205" t="s">
        <v>280</v>
      </c>
      <c r="D205" t="b">
        <v>1</v>
      </c>
      <c r="E205" t="s">
        <v>11</v>
      </c>
      <c r="F205">
        <v>47.25</v>
      </c>
      <c r="G205">
        <v>50</v>
      </c>
      <c r="H205">
        <v>-90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MakerPnPControl-core_variant1_c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 Clifton</cp:lastModifiedBy>
  <dcterms:created xsi:type="dcterms:W3CDTF">2026-03-12T00:38:38Z</dcterms:created>
  <dcterms:modified xsi:type="dcterms:W3CDTF">2026-03-13T14:46:47Z</dcterms:modified>
</cp:coreProperties>
</file>